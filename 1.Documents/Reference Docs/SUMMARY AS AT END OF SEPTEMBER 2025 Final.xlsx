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KTDA\Documents\FieldReports\"/>
    </mc:Choice>
  </mc:AlternateContent>
  <bookViews>
    <workbookView xWindow="-120" yWindow="-120" windowWidth="25440" windowHeight="15276" tabRatio="678" activeTab="1"/>
  </bookViews>
  <sheets>
    <sheet name="Infrastructure and Systems" sheetId="1" r:id="rId1"/>
    <sheet name="Chaipro-SAP" sheetId="2" r:id="rId2"/>
    <sheet name="ICT Inventory" sheetId="3" r:id="rId3"/>
    <sheet name="BCP" sheetId="4" r:id="rId4"/>
    <sheet name="ICT Cost" sheetId="5" r:id="rId5"/>
    <sheet name="R1" sheetId="6" state="hidden" r:id="rId6"/>
    <sheet name="R2" sheetId="12" state="hidden" r:id="rId7"/>
    <sheet name="R3" sheetId="13" state="hidden" r:id="rId8"/>
    <sheet name="R4" sheetId="14" state="hidden" r:id="rId9"/>
    <sheet name="R5" sheetId="15" state="hidden" r:id="rId10"/>
    <sheet name="R6" sheetId="16" state="hidden" r:id="rId11"/>
    <sheet name="R7" sheetId="18" state="hidden" r:id="rId12"/>
    <sheet name="SUM PERFORMANCE" sheetId="7" r:id="rId13"/>
    <sheet name="Pending Issues-SEPT 2025" sheetId="19" r:id="rId14"/>
  </sheets>
  <definedNames>
    <definedName name="_1610914392" localSheetId="4">'ICT Cost'!$B$3</definedName>
    <definedName name="_1663400178" localSheetId="4">'ICT Cost'!$B$25</definedName>
    <definedName name="Backup">#REF!</definedName>
    <definedName name="ChaiData">#REF!</definedName>
    <definedName name="ChaiPOS">#REF!</definedName>
    <definedName name="email">#REF!</definedName>
    <definedName name="Excel_BuiltIn_Print_Area_5_1">#REF!</definedName>
    <definedName name="Excel_BuiltIn_Print_Area_6">#REF!</definedName>
    <definedName name="Factory">#REF!</definedName>
    <definedName name="Farmers">#REF!</definedName>
    <definedName name="finance">#REF!</definedName>
    <definedName name="Financials">#REF!</definedName>
    <definedName name="Fleet">#REF!</definedName>
    <definedName name="Infrastructure">#REF!</definedName>
    <definedName name="KTDARegions">#REF!</definedName>
    <definedName name="OLE_LINK1" localSheetId="4">'ICT Cost'!#REF!</definedName>
    <definedName name="_xlnm.Print_Area" localSheetId="12">'SUM PERFORMANCE'!$A$1:$I$39</definedName>
    <definedName name="Services">#REF!</definedName>
    <definedName name="Z_13BCF553_2EBA_45EA_8FBD_6A537B439254_.wvu.Rows" localSheetId="13" hidden="1">'Pending Issues-SEPT 2025'!#REF!</definedName>
    <definedName name="Z_5421C3D9_B0FC_4E9A_AF58_750743087254_.wvu.Rows" localSheetId="13" hidden="1">'Pending Issues-SEPT 2025'!#REF!</definedName>
    <definedName name="Z_68AA7E29_F3FF_4D9C_9AA7_65670F74FDAE_.wvu.Rows" localSheetId="13" hidden="1">'Pending Issues-SEPT 2025'!#REF!</definedName>
    <definedName name="Z_895AF5ED_A8A8_4A0C_B855_F3E719BD3A90_.wvu.Rows" localSheetId="13" hidden="1">'Pending Issues-SEPT 2025'!#REF!</definedName>
    <definedName name="Z_8BE8326E_A433_4015_9926_5EBFB284E3CE_.wvu.Rows" localSheetId="13" hidden="1">'Pending Issues-SEPT 2025'!#REF!</definedName>
    <definedName name="Z_B9E9353E_B1A9_4CDD_A1A8_314FB0F67ADE_.wvu.Rows" localSheetId="13" hidden="1">'Pending Issues-SEPT 2025'!#REF!</definedName>
  </definedNames>
  <calcPr calcId="162913"/>
</workbook>
</file>

<file path=xl/calcChain.xml><?xml version="1.0" encoding="utf-8"?>
<calcChain xmlns="http://schemas.openxmlformats.org/spreadsheetml/2006/main">
  <c r="F1" i="4" l="1"/>
  <c r="H13" i="7" l="1"/>
  <c r="G13" i="7"/>
  <c r="F13" i="7"/>
  <c r="E13" i="7"/>
  <c r="D13" i="7"/>
  <c r="C13" i="7"/>
  <c r="B13" i="7"/>
  <c r="D8" i="7" l="1"/>
  <c r="H8" i="7" l="1"/>
  <c r="G8" i="7"/>
  <c r="F8" i="7"/>
  <c r="E8" i="7"/>
  <c r="D9" i="7"/>
  <c r="C8" i="7"/>
  <c r="B8" i="7"/>
  <c r="J43" i="3" l="1"/>
  <c r="J22" i="3"/>
  <c r="J1" i="3" l="1"/>
  <c r="F77" i="5" l="1"/>
  <c r="J42" i="5" l="1"/>
  <c r="J44" i="5"/>
  <c r="D5" i="6" l="1"/>
  <c r="D15" i="6" l="1"/>
  <c r="N3" i="5" l="1"/>
  <c r="N4" i="5"/>
  <c r="N5" i="5"/>
  <c r="N6" i="5"/>
  <c r="N7" i="5"/>
  <c r="N8" i="5"/>
  <c r="N10" i="5"/>
  <c r="K1" i="5"/>
  <c r="K14" i="5"/>
  <c r="K15" i="5"/>
  <c r="K16" i="5"/>
  <c r="K17" i="5"/>
  <c r="K18" i="5"/>
  <c r="K19" i="5"/>
  <c r="F70" i="5" l="1"/>
  <c r="F71" i="5"/>
  <c r="F72" i="5"/>
  <c r="F73" i="5"/>
  <c r="F74" i="5"/>
  <c r="F75" i="5"/>
  <c r="H1" i="7" l="1"/>
  <c r="P59" i="5" l="1"/>
  <c r="P60" i="5"/>
  <c r="P61" i="5"/>
  <c r="P62" i="5"/>
  <c r="P63" i="5"/>
  <c r="P64" i="5"/>
  <c r="P66" i="5"/>
  <c r="D17" i="18"/>
  <c r="D17" i="15"/>
  <c r="D17" i="13"/>
  <c r="D40" i="6" l="1"/>
  <c r="J37" i="5" l="1"/>
  <c r="J38" i="5"/>
  <c r="J39" i="5"/>
  <c r="J40" i="5"/>
  <c r="J41" i="5"/>
  <c r="J43" i="5"/>
  <c r="D21" i="12" l="1"/>
  <c r="G12" i="7" l="1"/>
  <c r="R48" i="5" l="1"/>
  <c r="R49" i="5"/>
  <c r="R50" i="5"/>
  <c r="R51" i="5"/>
  <c r="R52" i="5"/>
  <c r="R53" i="5"/>
  <c r="R55" i="5"/>
  <c r="D17" i="12" l="1"/>
  <c r="D18" i="12"/>
  <c r="D19" i="12"/>
  <c r="D20" i="12"/>
  <c r="D16" i="12"/>
  <c r="D15" i="12"/>
  <c r="D18" i="15"/>
  <c r="D15" i="15"/>
  <c r="K14" i="15"/>
  <c r="D7" i="13" l="1"/>
  <c r="D16" i="6"/>
  <c r="D8" i="6"/>
  <c r="J27" i="5" l="1"/>
  <c r="J28" i="5"/>
  <c r="J29" i="5"/>
  <c r="J30" i="5"/>
  <c r="J31" i="5"/>
  <c r="D12" i="7" s="1"/>
  <c r="J33" i="5"/>
  <c r="A5" i="7" l="1"/>
  <c r="J26" i="5" l="1"/>
  <c r="D40" i="18" l="1"/>
  <c r="E40" i="18"/>
  <c r="D40" i="14"/>
  <c r="D40" i="13"/>
  <c r="D28" i="13"/>
  <c r="D18" i="18"/>
  <c r="D16" i="18"/>
  <c r="D15" i="18"/>
  <c r="D18" i="16"/>
  <c r="D16" i="16"/>
  <c r="D15" i="16"/>
  <c r="E15" i="15"/>
  <c r="D16" i="15"/>
  <c r="E16" i="15" s="1"/>
  <c r="D40" i="16"/>
  <c r="H12" i="7"/>
  <c r="C12" i="7"/>
  <c r="D16" i="14"/>
  <c r="D15" i="14"/>
  <c r="D16" i="13"/>
  <c r="D15" i="13"/>
  <c r="B8" i="18"/>
  <c r="E12" i="7"/>
  <c r="D34" i="18"/>
  <c r="C34" i="18"/>
  <c r="D29" i="18"/>
  <c r="D28" i="18"/>
  <c r="E28" i="18" s="1"/>
  <c r="D27" i="18"/>
  <c r="D26" i="18"/>
  <c r="C26" i="18"/>
  <c r="C29" i="18"/>
  <c r="C28" i="18"/>
  <c r="C27" i="18"/>
  <c r="D21" i="18"/>
  <c r="D20" i="18"/>
  <c r="D19" i="18"/>
  <c r="C16" i="18"/>
  <c r="C17" i="18"/>
  <c r="E17" i="18" s="1"/>
  <c r="C18" i="18"/>
  <c r="C19" i="18"/>
  <c r="C20" i="18"/>
  <c r="C21" i="18"/>
  <c r="C15" i="18"/>
  <c r="D10" i="18"/>
  <c r="D9" i="18"/>
  <c r="D8" i="18"/>
  <c r="D5" i="18"/>
  <c r="D6" i="18"/>
  <c r="D4" i="18"/>
  <c r="C5" i="18"/>
  <c r="C6" i="18"/>
  <c r="C7" i="18"/>
  <c r="E7" i="18" s="1"/>
  <c r="C8" i="18"/>
  <c r="C9" i="18"/>
  <c r="C10" i="18"/>
  <c r="C4" i="18"/>
  <c r="C40" i="18"/>
  <c r="B10" i="18"/>
  <c r="A10" i="18"/>
  <c r="B9" i="18"/>
  <c r="A9" i="18"/>
  <c r="A8" i="18"/>
  <c r="B7" i="18"/>
  <c r="A7" i="18"/>
  <c r="B6" i="18"/>
  <c r="A6" i="18"/>
  <c r="B5" i="18"/>
  <c r="A5" i="18"/>
  <c r="B4" i="18"/>
  <c r="A4" i="18"/>
  <c r="A3" i="18"/>
  <c r="D21" i="13"/>
  <c r="D20" i="13"/>
  <c r="D18" i="13"/>
  <c r="D19" i="13"/>
  <c r="D29" i="6"/>
  <c r="D19" i="6"/>
  <c r="D17" i="6"/>
  <c r="D18" i="6"/>
  <c r="D20" i="6"/>
  <c r="D21" i="6"/>
  <c r="D7" i="6"/>
  <c r="D6" i="6"/>
  <c r="D4" i="6"/>
  <c r="G1" i="2"/>
  <c r="C40" i="16"/>
  <c r="C17" i="6"/>
  <c r="C17" i="12"/>
  <c r="E17" i="12" s="1"/>
  <c r="D17" i="16"/>
  <c r="E17" i="16" s="1"/>
  <c r="C17" i="16"/>
  <c r="D17" i="14"/>
  <c r="C17" i="14"/>
  <c r="C17" i="13"/>
  <c r="E17" i="13" s="1"/>
  <c r="E17" i="15"/>
  <c r="E18" i="15"/>
  <c r="D19" i="15"/>
  <c r="E19" i="15" s="1"/>
  <c r="D20" i="15"/>
  <c r="E20" i="15" s="1"/>
  <c r="D21" i="15"/>
  <c r="E21" i="15" s="1"/>
  <c r="D4" i="15"/>
  <c r="C4" i="15"/>
  <c r="D5" i="15"/>
  <c r="C5" i="15"/>
  <c r="D6" i="15"/>
  <c r="C6" i="15"/>
  <c r="D27" i="15"/>
  <c r="C7" i="15"/>
  <c r="D8" i="15"/>
  <c r="C8" i="15"/>
  <c r="D9" i="15"/>
  <c r="C9" i="15"/>
  <c r="D10" i="15"/>
  <c r="C10" i="15"/>
  <c r="D26" i="15"/>
  <c r="C26" i="15"/>
  <c r="C27" i="15"/>
  <c r="D28" i="15"/>
  <c r="C28" i="15"/>
  <c r="D29" i="15"/>
  <c r="C29" i="15"/>
  <c r="D34" i="15"/>
  <c r="C34" i="15"/>
  <c r="D21" i="16"/>
  <c r="D20" i="16"/>
  <c r="D19" i="16"/>
  <c r="D27" i="16"/>
  <c r="D28" i="16"/>
  <c r="D29" i="16"/>
  <c r="D26" i="16"/>
  <c r="D10" i="16"/>
  <c r="C10" i="16"/>
  <c r="D9" i="16"/>
  <c r="D8" i="16"/>
  <c r="D5" i="16"/>
  <c r="D6" i="16"/>
  <c r="C6" i="16"/>
  <c r="D4" i="16"/>
  <c r="D7" i="16"/>
  <c r="D7" i="15"/>
  <c r="E7" i="15" s="1"/>
  <c r="D26" i="6"/>
  <c r="D34" i="14"/>
  <c r="D29" i="14"/>
  <c r="D28" i="14"/>
  <c r="C28" i="14"/>
  <c r="D26" i="14"/>
  <c r="C26" i="14"/>
  <c r="D27" i="14"/>
  <c r="C27" i="14"/>
  <c r="C29" i="14"/>
  <c r="C34" i="14"/>
  <c r="C21" i="14"/>
  <c r="C20" i="14"/>
  <c r="C19" i="14"/>
  <c r="C18" i="14"/>
  <c r="C16" i="14"/>
  <c r="C15" i="14"/>
  <c r="D21" i="14"/>
  <c r="D20" i="14"/>
  <c r="D19" i="14"/>
  <c r="D18" i="14"/>
  <c r="D10" i="14"/>
  <c r="C10" i="14"/>
  <c r="D9" i="14"/>
  <c r="C9" i="14"/>
  <c r="D8" i="14"/>
  <c r="D7" i="14"/>
  <c r="D6" i="14"/>
  <c r="C6" i="14"/>
  <c r="D5" i="14"/>
  <c r="C5" i="14"/>
  <c r="D4" i="14"/>
  <c r="C4" i="14"/>
  <c r="D29" i="13"/>
  <c r="C28" i="13"/>
  <c r="D27" i="13"/>
  <c r="D26" i="13"/>
  <c r="C18" i="13"/>
  <c r="C16" i="13"/>
  <c r="C15" i="13"/>
  <c r="C19" i="13"/>
  <c r="C20" i="13"/>
  <c r="C21" i="13"/>
  <c r="D10" i="13"/>
  <c r="C10" i="13"/>
  <c r="D9" i="13"/>
  <c r="C9" i="13"/>
  <c r="D8" i="13"/>
  <c r="C8" i="13"/>
  <c r="C7" i="13"/>
  <c r="E7" i="13" s="1"/>
  <c r="D6" i="13"/>
  <c r="C6" i="13"/>
  <c r="D5" i="13"/>
  <c r="C5" i="13"/>
  <c r="D4" i="13"/>
  <c r="C4" i="13"/>
  <c r="C16" i="12"/>
  <c r="E16" i="12" s="1"/>
  <c r="D34" i="12"/>
  <c r="C34" i="12"/>
  <c r="D27" i="12"/>
  <c r="D28" i="12"/>
  <c r="C28" i="12"/>
  <c r="D29" i="12"/>
  <c r="D26" i="12"/>
  <c r="C26" i="12"/>
  <c r="C27" i="12"/>
  <c r="C29" i="12"/>
  <c r="D7" i="12"/>
  <c r="C20" i="12"/>
  <c r="E20" i="12" s="1"/>
  <c r="C21" i="12"/>
  <c r="E21" i="12" s="1"/>
  <c r="C18" i="12"/>
  <c r="E18" i="12" s="1"/>
  <c r="C15" i="12"/>
  <c r="E15" i="12" s="1"/>
  <c r="C19" i="12"/>
  <c r="E19" i="12" s="1"/>
  <c r="D8" i="12"/>
  <c r="D5" i="12"/>
  <c r="C5" i="12"/>
  <c r="D6" i="12"/>
  <c r="C6" i="12"/>
  <c r="D9" i="12"/>
  <c r="D10" i="12"/>
  <c r="C10" i="12"/>
  <c r="D4" i="12"/>
  <c r="C4" i="12"/>
  <c r="C7" i="12"/>
  <c r="C8" i="12"/>
  <c r="C9" i="12"/>
  <c r="D34" i="6"/>
  <c r="D27" i="6"/>
  <c r="D28" i="6"/>
  <c r="C28" i="6"/>
  <c r="C29" i="6"/>
  <c r="C21" i="6"/>
  <c r="C15" i="6"/>
  <c r="E15" i="6" s="1"/>
  <c r="C16" i="6"/>
  <c r="E16" i="6" s="1"/>
  <c r="C6" i="6"/>
  <c r="D10" i="6"/>
  <c r="D9" i="6"/>
  <c r="C9" i="6"/>
  <c r="C5" i="6"/>
  <c r="E5" i="6" s="1"/>
  <c r="C4" i="6"/>
  <c r="C40" i="14"/>
  <c r="C40" i="6"/>
  <c r="C19" i="16"/>
  <c r="C4" i="16"/>
  <c r="C7" i="14"/>
  <c r="C8" i="14"/>
  <c r="B10" i="14"/>
  <c r="A10" i="14"/>
  <c r="B9" i="14"/>
  <c r="A9" i="14"/>
  <c r="B8" i="14"/>
  <c r="A8" i="14"/>
  <c r="B7" i="14"/>
  <c r="A7" i="14"/>
  <c r="B6" i="14"/>
  <c r="A6" i="14"/>
  <c r="B5" i="14"/>
  <c r="A5" i="14"/>
  <c r="B4" i="14"/>
  <c r="A4" i="14"/>
  <c r="A3" i="14"/>
  <c r="C5" i="16"/>
  <c r="C7" i="16"/>
  <c r="C8" i="16"/>
  <c r="C9" i="16"/>
  <c r="C29" i="16"/>
  <c r="C28" i="16"/>
  <c r="C26" i="16"/>
  <c r="C27" i="16"/>
  <c r="C15" i="16"/>
  <c r="C16" i="16"/>
  <c r="C18" i="16"/>
  <c r="C20" i="16"/>
  <c r="C21" i="16"/>
  <c r="D34" i="16"/>
  <c r="C34" i="16"/>
  <c r="D34" i="13"/>
  <c r="C34" i="13"/>
  <c r="C7" i="6"/>
  <c r="C8" i="6"/>
  <c r="E8" i="6" s="1"/>
  <c r="C10" i="6"/>
  <c r="C18" i="6"/>
  <c r="C19" i="6"/>
  <c r="E19" i="6" s="1"/>
  <c r="C20" i="6"/>
  <c r="A6" i="7"/>
  <c r="C26" i="6"/>
  <c r="C27" i="6"/>
  <c r="C26" i="13"/>
  <c r="C27" i="13"/>
  <c r="C29" i="13"/>
  <c r="A7" i="7"/>
  <c r="C34" i="6"/>
  <c r="A3" i="16"/>
  <c r="A4" i="16"/>
  <c r="B4" i="16"/>
  <c r="A5" i="16"/>
  <c r="B5" i="16"/>
  <c r="A6" i="16"/>
  <c r="B6" i="16"/>
  <c r="A7" i="16"/>
  <c r="B7" i="16"/>
  <c r="A8" i="16"/>
  <c r="B8" i="16"/>
  <c r="A9" i="16"/>
  <c r="B9" i="16"/>
  <c r="A10" i="16"/>
  <c r="B10" i="16"/>
  <c r="A3" i="15"/>
  <c r="A4" i="15"/>
  <c r="B4" i="15"/>
  <c r="A5" i="15"/>
  <c r="B5" i="15"/>
  <c r="A6" i="15"/>
  <c r="B6" i="15"/>
  <c r="A7" i="15"/>
  <c r="B7" i="15"/>
  <c r="A8" i="15"/>
  <c r="B8" i="15"/>
  <c r="A9" i="15"/>
  <c r="B9" i="15"/>
  <c r="A10" i="15"/>
  <c r="B10" i="15"/>
  <c r="C40" i="15"/>
  <c r="A3" i="13"/>
  <c r="A4" i="13"/>
  <c r="B4" i="13"/>
  <c r="A5" i="13"/>
  <c r="B5" i="13"/>
  <c r="A6" i="13"/>
  <c r="B6" i="13"/>
  <c r="A7" i="13"/>
  <c r="B7" i="13"/>
  <c r="A8" i="13"/>
  <c r="B8" i="13"/>
  <c r="A9" i="13"/>
  <c r="B9" i="13"/>
  <c r="A10" i="13"/>
  <c r="B10" i="13"/>
  <c r="C40" i="13"/>
  <c r="A3" i="12"/>
  <c r="A4" i="12"/>
  <c r="B4" i="12"/>
  <c r="A5" i="12"/>
  <c r="B5" i="12"/>
  <c r="A6" i="12"/>
  <c r="B6" i="12"/>
  <c r="A7" i="12"/>
  <c r="B7" i="12"/>
  <c r="A8" i="12"/>
  <c r="B8" i="12"/>
  <c r="A9" i="12"/>
  <c r="B9" i="12"/>
  <c r="A10" i="12"/>
  <c r="B10" i="12"/>
  <c r="C40" i="12"/>
  <c r="A3" i="6"/>
  <c r="A4" i="6"/>
  <c r="B4" i="6"/>
  <c r="A5" i="6"/>
  <c r="B5" i="6"/>
  <c r="A6" i="6"/>
  <c r="B6" i="6"/>
  <c r="A7" i="6"/>
  <c r="B7" i="6"/>
  <c r="A8" i="6"/>
  <c r="B8" i="6"/>
  <c r="A9" i="6"/>
  <c r="B9" i="6"/>
  <c r="A10" i="6"/>
  <c r="B10" i="6"/>
  <c r="D40" i="12"/>
  <c r="B12" i="7"/>
  <c r="E34" i="16" l="1"/>
  <c r="E35" i="16" s="1"/>
  <c r="E27" i="18"/>
  <c r="E29" i="15"/>
  <c r="E27" i="15"/>
  <c r="E28" i="6"/>
  <c r="E28" i="15"/>
  <c r="E26" i="15"/>
  <c r="E26" i="16"/>
  <c r="E27" i="16"/>
  <c r="E28" i="16"/>
  <c r="E27" i="6"/>
  <c r="E29" i="13"/>
  <c r="E19" i="16"/>
  <c r="E15" i="18"/>
  <c r="E20" i="18"/>
  <c r="E19" i="13"/>
  <c r="E34" i="18"/>
  <c r="E35" i="18" s="1"/>
  <c r="E34" i="12"/>
  <c r="E35" i="12" s="1"/>
  <c r="E34" i="15"/>
  <c r="E35" i="15" s="1"/>
  <c r="E34" i="13"/>
  <c r="E35" i="13" s="1"/>
  <c r="E34" i="6"/>
  <c r="E35" i="6" s="1"/>
  <c r="E26" i="6"/>
  <c r="E27" i="13"/>
  <c r="E30" i="15"/>
  <c r="E26" i="13"/>
  <c r="E29" i="14"/>
  <c r="E27" i="14"/>
  <c r="E26" i="14"/>
  <c r="E28" i="14"/>
  <c r="E29" i="16"/>
  <c r="E27" i="12"/>
  <c r="E26" i="12"/>
  <c r="E29" i="18"/>
  <c r="E26" i="18"/>
  <c r="E30" i="18" s="1"/>
  <c r="E19" i="18"/>
  <c r="E21" i="18"/>
  <c r="E17" i="14"/>
  <c r="E16" i="18"/>
  <c r="E18" i="18"/>
  <c r="E20" i="6"/>
  <c r="E18" i="14"/>
  <c r="E19" i="14"/>
  <c r="E21" i="14"/>
  <c r="E17" i="6"/>
  <c r="E6" i="15"/>
  <c r="E4" i="18"/>
  <c r="E5" i="13"/>
  <c r="E6" i="13"/>
  <c r="E7" i="16"/>
  <c r="E9" i="14"/>
  <c r="E10" i="14"/>
  <c r="E7" i="6"/>
  <c r="E8" i="14"/>
  <c r="E9" i="13"/>
  <c r="E10" i="13"/>
  <c r="E10" i="16"/>
  <c r="E6" i="12"/>
  <c r="E5" i="18"/>
  <c r="E10" i="12"/>
  <c r="E4" i="15"/>
  <c r="E8" i="12"/>
  <c r="E4" i="6"/>
  <c r="E10" i="6"/>
  <c r="E4" i="12"/>
  <c r="E6" i="6"/>
  <c r="E9" i="16"/>
  <c r="E8" i="16"/>
  <c r="E9" i="12"/>
  <c r="E8" i="13"/>
  <c r="E34" i="14"/>
  <c r="E35" i="14" s="1"/>
  <c r="E6" i="18"/>
  <c r="E8" i="18"/>
  <c r="E10" i="15"/>
  <c r="E4" i="16"/>
  <c r="E9" i="18"/>
  <c r="E10" i="18"/>
  <c r="E5" i="15"/>
  <c r="E5" i="14"/>
  <c r="E9" i="15"/>
  <c r="E16" i="16"/>
  <c r="E18" i="16"/>
  <c r="E9" i="6"/>
  <c r="E6" i="14"/>
  <c r="E8" i="15"/>
  <c r="E20" i="16"/>
  <c r="E4" i="13"/>
  <c r="E21" i="16"/>
  <c r="E28" i="13"/>
  <c r="E7" i="12"/>
  <c r="E6" i="16"/>
  <c r="E16" i="13"/>
  <c r="E5" i="16"/>
  <c r="E7" i="14"/>
  <c r="E18" i="13"/>
  <c r="E29" i="12"/>
  <c r="E5" i="12"/>
  <c r="E4" i="14"/>
  <c r="E20" i="14"/>
  <c r="E20" i="13"/>
  <c r="E21" i="13"/>
  <c r="E15" i="13"/>
  <c r="E28" i="12"/>
  <c r="E15" i="14"/>
  <c r="E16" i="14"/>
  <c r="E18" i="6"/>
  <c r="E29" i="6"/>
  <c r="E15" i="16"/>
  <c r="E21" i="6"/>
  <c r="E22" i="15"/>
  <c r="E22" i="12"/>
  <c r="F12" i="7"/>
  <c r="D40" i="15"/>
  <c r="F34" i="13" l="1"/>
  <c r="E30" i="16"/>
  <c r="E30" i="13"/>
  <c r="E30" i="6"/>
  <c r="E30" i="14"/>
  <c r="E22" i="18"/>
  <c r="E11" i="13"/>
  <c r="E11" i="6"/>
  <c r="E11" i="18"/>
  <c r="E11" i="15"/>
  <c r="F9" i="7" s="1"/>
  <c r="F11" i="7" s="1"/>
  <c r="E22" i="16"/>
  <c r="E22" i="14"/>
  <c r="E11" i="16"/>
  <c r="E11" i="12"/>
  <c r="E30" i="12"/>
  <c r="E11" i="14"/>
  <c r="E22" i="13"/>
  <c r="E22" i="6"/>
  <c r="B9" i="7" s="1"/>
  <c r="B11" i="7" s="1"/>
  <c r="H9" i="7" l="1"/>
  <c r="H11" i="7" s="1"/>
  <c r="E9" i="7"/>
  <c r="E11" i="7" s="1"/>
  <c r="G9" i="7"/>
  <c r="G11" i="7" s="1"/>
  <c r="C9" i="7"/>
  <c r="C11" i="7" s="1"/>
  <c r="D11" i="7"/>
</calcChain>
</file>

<file path=xl/comments1.xml><?xml version="1.0" encoding="utf-8"?>
<comments xmlns="http://schemas.openxmlformats.org/spreadsheetml/2006/main">
  <authors>
    <author>ktda</author>
  </authors>
  <commentList>
    <comment ref="C4" authorId="0" shapeId="0">
      <text>
        <r>
          <rPr>
            <b/>
            <sz val="9"/>
            <color indexed="81"/>
            <rFont val="Tahoma"/>
            <family val="2"/>
          </rPr>
          <t>Plangat: Please click to select an option. Each Option is rated e.g. 3,2,1.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4" authorId="0" shapeId="0">
      <text>
        <r>
          <rPr>
            <b/>
            <sz val="9"/>
            <color indexed="81"/>
            <rFont val="Tahoma"/>
            <family val="2"/>
          </rPr>
          <t>Plangat: Please click to select an option. Each Option is rated e.g. 3,2,1.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4" authorId="0" shapeId="0">
      <text>
        <r>
          <rPr>
            <b/>
            <sz val="9"/>
            <color indexed="81"/>
            <rFont val="Tahoma"/>
            <family val="2"/>
          </rPr>
          <t>Plangat: Please click to select an option. Each Option is rated e.g. 3,2,1.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4" authorId="0" shapeId="0">
      <text>
        <r>
          <rPr>
            <b/>
            <sz val="9"/>
            <color indexed="81"/>
            <rFont val="Tahoma"/>
            <family val="2"/>
          </rPr>
          <t>Plangat: Please click to select an option. Each Option is rated e.g. 3,2,1.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4" authorId="0" shapeId="0">
      <text>
        <r>
          <rPr>
            <b/>
            <sz val="9"/>
            <color indexed="81"/>
            <rFont val="Tahoma"/>
            <family val="2"/>
          </rPr>
          <t>Plangat: Please click to select an option. Each Option is rated e.g. 3,2,1.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4" authorId="0" shapeId="0">
      <text>
        <r>
          <rPr>
            <b/>
            <sz val="9"/>
            <color indexed="81"/>
            <rFont val="Tahoma"/>
            <family val="2"/>
          </rPr>
          <t>Plangat: Please click to select an option. Each Option is rated e.g. 3,2,1.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4" authorId="0" shapeId="0">
      <text>
        <r>
          <rPr>
            <b/>
            <sz val="9"/>
            <color indexed="81"/>
            <rFont val="Tahoma"/>
            <family val="2"/>
          </rPr>
          <t>Plangat: Please click to select an option. Each Option is rated e.g. 3,2,1.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4" authorId="0" shapeId="0">
      <text>
        <r>
          <rPr>
            <b/>
            <sz val="9"/>
            <color indexed="81"/>
            <rFont val="Tahoma"/>
            <family val="2"/>
          </rPr>
          <t>Plangat: Please click to select an option. Each Option is rated e.g. 3,2,1.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4" authorId="0" shapeId="0">
      <text>
        <r>
          <rPr>
            <b/>
            <sz val="9"/>
            <color indexed="81"/>
            <rFont val="Tahoma"/>
            <family val="2"/>
          </rPr>
          <t>Plangat: Please click to select an option. Each Option is rated e.g. 3,2,1.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4" authorId="0" shapeId="0">
      <text>
        <r>
          <rPr>
            <b/>
            <sz val="9"/>
            <color indexed="81"/>
            <rFont val="Tahoma"/>
            <family val="2"/>
          </rPr>
          <t>Plangat: Please click to select an option. Each Option is rated e.g. 3,2,1.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4" authorId="0" shapeId="0">
      <text>
        <r>
          <rPr>
            <b/>
            <sz val="9"/>
            <color indexed="81"/>
            <rFont val="Tahoma"/>
            <family val="2"/>
          </rPr>
          <t>Plangat: Please click to select an option. Each Option is rated e.g. 3,2,1.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4" authorId="0" shapeId="0">
      <text>
        <r>
          <rPr>
            <b/>
            <sz val="9"/>
            <color indexed="81"/>
            <rFont val="Tahoma"/>
            <family val="2"/>
          </rPr>
          <t>Plangat: Please click to select an option. Each Option is rated e.g. 3,2,1.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5" authorId="0" shapeId="0">
      <text>
        <r>
          <rPr>
            <b/>
            <sz val="9"/>
            <color indexed="81"/>
            <rFont val="Tahoma"/>
            <family val="2"/>
          </rPr>
          <t>Plangat: Please click to select an option. Each Option is rated e.g. 3,2,1.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5" authorId="0" shapeId="0">
      <text>
        <r>
          <rPr>
            <b/>
            <sz val="9"/>
            <color indexed="81"/>
            <rFont val="Tahoma"/>
            <family val="2"/>
          </rPr>
          <t>Plangat: Please click to select an option. Each Option is rated e.g. 3,2,1.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5" authorId="0" shapeId="0">
      <text>
        <r>
          <rPr>
            <b/>
            <sz val="9"/>
            <color indexed="81"/>
            <rFont val="Tahoma"/>
            <family val="2"/>
          </rPr>
          <t>Plangat: Please click to select an option. Each Option is rated e.g. 3,2,1.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5" authorId="0" shapeId="0">
      <text>
        <r>
          <rPr>
            <b/>
            <sz val="9"/>
            <color indexed="81"/>
            <rFont val="Tahoma"/>
            <family val="2"/>
          </rPr>
          <t>Plangat: Please click to select an option. Each Option is rated e.g. 3,2,1.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5" authorId="0" shapeId="0">
      <text>
        <r>
          <rPr>
            <b/>
            <sz val="9"/>
            <color indexed="81"/>
            <rFont val="Tahoma"/>
            <family val="2"/>
          </rPr>
          <t>Plangat: Please click to select an option. Each Option is rated e.g. 3,2,1.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5" authorId="0" shapeId="0">
      <text>
        <r>
          <rPr>
            <b/>
            <sz val="9"/>
            <color indexed="81"/>
            <rFont val="Tahoma"/>
            <family val="2"/>
          </rPr>
          <t>Plangat:</t>
        </r>
        <r>
          <rPr>
            <sz val="9"/>
            <color indexed="81"/>
            <rFont val="Tahoma"/>
            <family val="2"/>
          </rPr>
          <t xml:space="preserve">
Plangat: Please click to select an option. Each Option is rated e.g. 3,2,1.</t>
        </r>
      </text>
    </comment>
    <comment ref="I5" authorId="0" shapeId="0">
      <text>
        <r>
          <rPr>
            <b/>
            <sz val="9"/>
            <color indexed="81"/>
            <rFont val="Tahoma"/>
            <family val="2"/>
          </rPr>
          <t>Plangat:</t>
        </r>
        <r>
          <rPr>
            <sz val="9"/>
            <color indexed="81"/>
            <rFont val="Tahoma"/>
            <family val="2"/>
          </rPr>
          <t xml:space="preserve">
Plangat: Please click to select an option. Each Option is rated e.g. 3,2,1.</t>
        </r>
      </text>
    </comment>
    <comment ref="J5" authorId="0" shapeId="0">
      <text>
        <r>
          <rPr>
            <b/>
            <sz val="9"/>
            <color indexed="81"/>
            <rFont val="Tahoma"/>
            <family val="2"/>
          </rPr>
          <t>Plangat:</t>
        </r>
        <r>
          <rPr>
            <sz val="9"/>
            <color indexed="81"/>
            <rFont val="Tahoma"/>
            <family val="2"/>
          </rPr>
          <t xml:space="preserve">
Plangat: Please click to select an option. Each Option is rated e.g. 3,2,1.</t>
        </r>
      </text>
    </comment>
    <comment ref="K5" authorId="0" shapeId="0">
      <text>
        <r>
          <rPr>
            <b/>
            <sz val="9"/>
            <color indexed="81"/>
            <rFont val="Tahoma"/>
            <family val="2"/>
          </rPr>
          <t>Plangat:</t>
        </r>
        <r>
          <rPr>
            <sz val="9"/>
            <color indexed="81"/>
            <rFont val="Tahoma"/>
            <family val="2"/>
          </rPr>
          <t xml:space="preserve">
Plangat: Please click to select an option. Each Option is rated e.g. 3,2,1.</t>
        </r>
      </text>
    </comment>
    <comment ref="L5" authorId="0" shapeId="0">
      <text>
        <r>
          <rPr>
            <b/>
            <sz val="9"/>
            <color indexed="81"/>
            <rFont val="Tahoma"/>
            <family val="2"/>
          </rPr>
          <t>Plangat:</t>
        </r>
        <r>
          <rPr>
            <sz val="9"/>
            <color indexed="81"/>
            <rFont val="Tahoma"/>
            <family val="2"/>
          </rPr>
          <t xml:space="preserve">
Plangat: Please click to select an option. Each Option is rated e.g. 3,2,1.</t>
        </r>
      </text>
    </comment>
    <comment ref="M5" authorId="0" shapeId="0">
      <text>
        <r>
          <rPr>
            <b/>
            <sz val="9"/>
            <color indexed="81"/>
            <rFont val="Tahoma"/>
            <family val="2"/>
          </rPr>
          <t>Plangat:</t>
        </r>
        <r>
          <rPr>
            <sz val="9"/>
            <color indexed="81"/>
            <rFont val="Tahoma"/>
            <family val="2"/>
          </rPr>
          <t xml:space="preserve">
Plangat: Please click to select an option. Each Option is rated e.g. 3,2,1.</t>
        </r>
      </text>
    </comment>
    <comment ref="N5" authorId="0" shapeId="0">
      <text>
        <r>
          <rPr>
            <b/>
            <sz val="9"/>
            <color indexed="81"/>
            <rFont val="Tahoma"/>
            <family val="2"/>
          </rPr>
          <t>Plangat:</t>
        </r>
        <r>
          <rPr>
            <sz val="9"/>
            <color indexed="81"/>
            <rFont val="Tahoma"/>
            <family val="2"/>
          </rPr>
          <t xml:space="preserve">
Plangat: Please click to select an option. Each Option is rated e.g. 3,2,1.</t>
        </r>
      </text>
    </comment>
    <comment ref="C7" authorId="0" shapeId="0">
      <text>
        <r>
          <rPr>
            <b/>
            <sz val="9"/>
            <color indexed="81"/>
            <rFont val="Tahoma"/>
            <family val="2"/>
          </rPr>
          <t>Plangat: Please click to select an option. Each Option is rated e.g. 3,2,1.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7" authorId="0" shapeId="0">
      <text>
        <r>
          <rPr>
            <b/>
            <sz val="9"/>
            <color indexed="81"/>
            <rFont val="Tahoma"/>
            <family val="2"/>
          </rPr>
          <t>Plangat: Please click to select an option. Each Option is rated e.g. 3,2,1.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7" authorId="0" shapeId="0">
      <text>
        <r>
          <rPr>
            <b/>
            <sz val="9"/>
            <color indexed="81"/>
            <rFont val="Tahoma"/>
            <family val="2"/>
          </rPr>
          <t>Plangat: Please click to select an option. Each Option is rated e.g. 3,2,1.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7" authorId="0" shapeId="0">
      <text>
        <r>
          <rPr>
            <b/>
            <sz val="9"/>
            <color indexed="81"/>
            <rFont val="Tahoma"/>
            <family val="2"/>
          </rPr>
          <t>Plangat: Please click to select an option. Each Option is rated e.g. 3,2,1.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7" authorId="0" shapeId="0">
      <text>
        <r>
          <rPr>
            <b/>
            <sz val="9"/>
            <color indexed="81"/>
            <rFont val="Tahoma"/>
            <family val="2"/>
          </rPr>
          <t>Plangat: Please click to select an option. Each Option is rated e.g. 3,2,1.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7" authorId="0" shapeId="0">
      <text>
        <r>
          <rPr>
            <b/>
            <sz val="9"/>
            <color indexed="81"/>
            <rFont val="Tahoma"/>
            <family val="2"/>
          </rPr>
          <t>Plangat:</t>
        </r>
        <r>
          <rPr>
            <sz val="9"/>
            <color indexed="81"/>
            <rFont val="Tahoma"/>
            <family val="2"/>
          </rPr>
          <t xml:space="preserve">
Plangat: Please click to select an option. Each Option is rated e.g. 3,2,1.</t>
        </r>
      </text>
    </comment>
    <comment ref="I7" authorId="0" shapeId="0">
      <text>
        <r>
          <rPr>
            <b/>
            <sz val="9"/>
            <color indexed="81"/>
            <rFont val="Tahoma"/>
            <family val="2"/>
          </rPr>
          <t>Plangat:</t>
        </r>
        <r>
          <rPr>
            <sz val="9"/>
            <color indexed="81"/>
            <rFont val="Tahoma"/>
            <family val="2"/>
          </rPr>
          <t xml:space="preserve">
Plangat: Please click to select an option. Each Option is rated e.g. 3,2,1.</t>
        </r>
      </text>
    </comment>
    <comment ref="J7" authorId="0" shapeId="0">
      <text>
        <r>
          <rPr>
            <b/>
            <sz val="9"/>
            <color indexed="81"/>
            <rFont val="Tahoma"/>
            <family val="2"/>
          </rPr>
          <t>Plangat:</t>
        </r>
        <r>
          <rPr>
            <sz val="9"/>
            <color indexed="81"/>
            <rFont val="Tahoma"/>
            <family val="2"/>
          </rPr>
          <t xml:space="preserve">
Plangat: Please click to select an option. Each Option is rated e.g. 3,2,1.</t>
        </r>
      </text>
    </comment>
    <comment ref="K7" authorId="0" shapeId="0">
      <text>
        <r>
          <rPr>
            <b/>
            <sz val="9"/>
            <color indexed="81"/>
            <rFont val="Tahoma"/>
            <family val="2"/>
          </rPr>
          <t>Plangat:</t>
        </r>
        <r>
          <rPr>
            <sz val="9"/>
            <color indexed="81"/>
            <rFont val="Tahoma"/>
            <family val="2"/>
          </rPr>
          <t xml:space="preserve">
Plangat: Please click to select an option. Each Option is rated e.g. 3,2,1.</t>
        </r>
      </text>
    </comment>
    <comment ref="L7" authorId="0" shapeId="0">
      <text>
        <r>
          <rPr>
            <b/>
            <sz val="9"/>
            <color indexed="81"/>
            <rFont val="Tahoma"/>
            <family val="2"/>
          </rPr>
          <t>Plangat:</t>
        </r>
        <r>
          <rPr>
            <sz val="9"/>
            <color indexed="81"/>
            <rFont val="Tahoma"/>
            <family val="2"/>
          </rPr>
          <t xml:space="preserve">
Plangat: Please click to select an option. Each Option is rated e.g. 3,2,1.</t>
        </r>
      </text>
    </comment>
    <comment ref="M7" authorId="0" shapeId="0">
      <text>
        <r>
          <rPr>
            <b/>
            <sz val="9"/>
            <color indexed="81"/>
            <rFont val="Tahoma"/>
            <family val="2"/>
          </rPr>
          <t>Plangat:</t>
        </r>
        <r>
          <rPr>
            <sz val="9"/>
            <color indexed="81"/>
            <rFont val="Tahoma"/>
            <family val="2"/>
          </rPr>
          <t xml:space="preserve">
Plangat: Please click to select an option. Each Option is rated e.g. 3,2,1.</t>
        </r>
      </text>
    </comment>
    <comment ref="N7" authorId="0" shapeId="0">
      <text>
        <r>
          <rPr>
            <b/>
            <sz val="9"/>
            <color indexed="81"/>
            <rFont val="Tahoma"/>
            <family val="2"/>
          </rPr>
          <t>Plangat:</t>
        </r>
        <r>
          <rPr>
            <sz val="9"/>
            <color indexed="81"/>
            <rFont val="Tahoma"/>
            <family val="2"/>
          </rPr>
          <t xml:space="preserve">
Plangat: Please click to select an option. Each Option is rated e.g. 3,2,1.</t>
        </r>
      </text>
    </comment>
    <comment ref="C21" authorId="0" shapeId="0">
      <text>
        <r>
          <rPr>
            <b/>
            <sz val="9"/>
            <color indexed="81"/>
            <rFont val="Tahoma"/>
            <family val="2"/>
          </rPr>
          <t>Plangat: Please click to select an option. Each Option is rated e.g. 3,2,1.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21" authorId="0" shapeId="0">
      <text>
        <r>
          <rPr>
            <b/>
            <sz val="9"/>
            <color indexed="81"/>
            <rFont val="Tahoma"/>
            <family val="2"/>
          </rPr>
          <t>Plangat: Please click to select an option. Each Option is rated e.g. 3,2,1.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21" authorId="0" shapeId="0">
      <text>
        <r>
          <rPr>
            <b/>
            <sz val="9"/>
            <color indexed="81"/>
            <rFont val="Tahoma"/>
            <family val="2"/>
          </rPr>
          <t>Plangat: Please click to select an option. Each Option is rated e.g. 3,2,1.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21" authorId="0" shapeId="0">
      <text>
        <r>
          <rPr>
            <b/>
            <sz val="9"/>
            <color indexed="81"/>
            <rFont val="Tahoma"/>
            <family val="2"/>
          </rPr>
          <t>Plangat: Please click to select an option. Each Option is rated e.g. 3,2,1.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21" authorId="0" shapeId="0">
      <text>
        <r>
          <rPr>
            <b/>
            <sz val="9"/>
            <color indexed="81"/>
            <rFont val="Tahoma"/>
            <family val="2"/>
          </rPr>
          <t>Plangat: Please click to select an option. Each Option is rated e.g. 3,2,1.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21" authorId="0" shapeId="0">
      <text>
        <r>
          <rPr>
            <b/>
            <sz val="9"/>
            <color indexed="81"/>
            <rFont val="Tahoma"/>
            <family val="2"/>
          </rPr>
          <t>Plangat: Please click to select an option. Each Option is rated e.g. 3,2,1.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21" authorId="0" shapeId="0">
      <text>
        <r>
          <rPr>
            <b/>
            <sz val="9"/>
            <color indexed="81"/>
            <rFont val="Tahoma"/>
            <family val="2"/>
          </rPr>
          <t>Plangat: Please click to select an option. Each Option is rated e.g. 3,2,1.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21" authorId="0" shapeId="0">
      <text>
        <r>
          <rPr>
            <b/>
            <sz val="9"/>
            <color indexed="81"/>
            <rFont val="Tahoma"/>
            <family val="2"/>
          </rPr>
          <t>Plangat: Please click to select an option. Each Option is rated e.g. 3,2,1.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21" authorId="0" shapeId="0">
      <text>
        <r>
          <rPr>
            <b/>
            <sz val="9"/>
            <color indexed="81"/>
            <rFont val="Tahoma"/>
            <family val="2"/>
          </rPr>
          <t>Plangat: Please click to select an option. Each Option is rated e.g. 3,2,1.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2" authorId="0" shapeId="0">
      <text>
        <r>
          <rPr>
            <b/>
            <sz val="9"/>
            <color indexed="81"/>
            <rFont val="Tahoma"/>
            <family val="2"/>
          </rPr>
          <t>Plangat: Please click to select an option. Each Option is rated e.g. 3,2,1.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22" authorId="0" shapeId="0">
      <text>
        <r>
          <rPr>
            <b/>
            <sz val="9"/>
            <color indexed="81"/>
            <rFont val="Tahoma"/>
            <family val="2"/>
          </rPr>
          <t>Plangat: Please click to select an option. Each Option is rated e.g. 3,2,1.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22" authorId="0" shapeId="0">
      <text>
        <r>
          <rPr>
            <b/>
            <sz val="9"/>
            <color indexed="81"/>
            <rFont val="Tahoma"/>
            <family val="2"/>
          </rPr>
          <t>Plangat: Please click to select an option. Each Option is rated e.g. 3,2,1.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22" authorId="0" shapeId="0">
      <text>
        <r>
          <rPr>
            <b/>
            <sz val="9"/>
            <color indexed="81"/>
            <rFont val="Tahoma"/>
            <family val="2"/>
          </rPr>
          <t>Plangat: Please click to select an option. Each Option is rated e.g. 3,2,1.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22" authorId="0" shapeId="0">
      <text>
        <r>
          <rPr>
            <b/>
            <sz val="9"/>
            <color indexed="81"/>
            <rFont val="Tahoma"/>
            <family val="2"/>
          </rPr>
          <t>Plangat: Please click to select an option. Each Option is rated e.g. 3,2,1.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22" authorId="0" shapeId="0">
      <text>
        <r>
          <rPr>
            <b/>
            <sz val="9"/>
            <color indexed="81"/>
            <rFont val="Tahoma"/>
            <family val="2"/>
          </rPr>
          <t>Plangat: Please click to select an option. Each Option is rated e.g. 3,2,1.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22" authorId="0" shapeId="0">
      <text>
        <r>
          <rPr>
            <b/>
            <sz val="9"/>
            <color indexed="81"/>
            <rFont val="Tahoma"/>
            <family val="2"/>
          </rPr>
          <t>Plangat: Please click to select an option. Each Option is rated e.g. 3,2,1.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22" authorId="0" shapeId="0">
      <text>
        <r>
          <rPr>
            <b/>
            <sz val="9"/>
            <color indexed="81"/>
            <rFont val="Tahoma"/>
            <family val="2"/>
          </rPr>
          <t>Plangat: Please click to select an option. Each Option is rated e.g. 3,2,1.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22" authorId="0" shapeId="0">
      <text>
        <r>
          <rPr>
            <b/>
            <sz val="9"/>
            <color indexed="81"/>
            <rFont val="Tahoma"/>
            <family val="2"/>
          </rPr>
          <t>Plangat: Please click to select an option. Each Option is rated e.g. 3,2,1.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3" authorId="0" shapeId="0">
      <text>
        <r>
          <rPr>
            <b/>
            <sz val="9"/>
            <color indexed="81"/>
            <rFont val="Tahoma"/>
            <family val="2"/>
          </rPr>
          <t>Plangat: Please click to select an option. Each Option is rated e.g. 3,2,1.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23" authorId="0" shapeId="0">
      <text>
        <r>
          <rPr>
            <b/>
            <sz val="9"/>
            <color indexed="81"/>
            <rFont val="Tahoma"/>
            <family val="2"/>
          </rPr>
          <t>Plangat: Please click to select an option. Each Option is rated e.g. 3,2,1.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23" authorId="0" shapeId="0">
      <text>
        <r>
          <rPr>
            <b/>
            <sz val="9"/>
            <color indexed="81"/>
            <rFont val="Tahoma"/>
            <family val="2"/>
          </rPr>
          <t>Plangat: Please click to select an option. Each Option is rated e.g. 3,2,1.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23" authorId="0" shapeId="0">
      <text>
        <r>
          <rPr>
            <b/>
            <sz val="9"/>
            <color indexed="81"/>
            <rFont val="Tahoma"/>
            <family val="2"/>
          </rPr>
          <t>Plangat: Please click to select an option. Each Option is rated e.g. 3,2,1.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23" authorId="0" shapeId="0">
      <text>
        <r>
          <rPr>
            <b/>
            <sz val="9"/>
            <color indexed="81"/>
            <rFont val="Tahoma"/>
            <family val="2"/>
          </rPr>
          <t>Plangat: Please click to select an option. Each Option is rated e.g. 3,2,1.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23" authorId="0" shapeId="0">
      <text>
        <r>
          <rPr>
            <b/>
            <sz val="9"/>
            <color indexed="81"/>
            <rFont val="Tahoma"/>
            <family val="2"/>
          </rPr>
          <t>Plangat: Please click to select an option. Each Option is rated e.g. 3,2,1.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23" authorId="0" shapeId="0">
      <text>
        <r>
          <rPr>
            <b/>
            <sz val="9"/>
            <color indexed="81"/>
            <rFont val="Tahoma"/>
            <family val="2"/>
          </rPr>
          <t>Plangat: Please click to select an option. Each Option is rated e.g. 3,2,1.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23" authorId="0" shapeId="0">
      <text>
        <r>
          <rPr>
            <b/>
            <sz val="9"/>
            <color indexed="81"/>
            <rFont val="Tahoma"/>
            <family val="2"/>
          </rPr>
          <t>Plangat: Please click to select an option. Each Option is rated e.g. 3,2,1.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23" authorId="0" shapeId="0">
      <text>
        <r>
          <rPr>
            <b/>
            <sz val="9"/>
            <color indexed="81"/>
            <rFont val="Tahoma"/>
            <family val="2"/>
          </rPr>
          <t>Plangat: Please click to select an option. Each Option is rated e.g. 3,2,1.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5" authorId="0" shapeId="0">
      <text>
        <r>
          <rPr>
            <b/>
            <sz val="9"/>
            <color indexed="81"/>
            <rFont val="Tahoma"/>
            <family val="2"/>
          </rPr>
          <t>Plangat: Please click to select an option. Each Option is rated e.g. 3,2,1.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25" authorId="0" shapeId="0">
      <text>
        <r>
          <rPr>
            <b/>
            <sz val="9"/>
            <color indexed="81"/>
            <rFont val="Tahoma"/>
            <family val="2"/>
          </rPr>
          <t>Plangat: Please click to select an option. Each Option is rated e.g. 3,2,1.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25" authorId="0" shapeId="0">
      <text>
        <r>
          <rPr>
            <b/>
            <sz val="9"/>
            <color indexed="81"/>
            <rFont val="Tahoma"/>
            <family val="2"/>
          </rPr>
          <t>Plangat: Please click to select an option. Each Option is rated e.g. 3,2,1.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25" authorId="0" shapeId="0">
      <text>
        <r>
          <rPr>
            <b/>
            <sz val="9"/>
            <color indexed="81"/>
            <rFont val="Tahoma"/>
            <family val="2"/>
          </rPr>
          <t>Plangat: Please click to select an option. Each Option is rated e.g. 3,2,1.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25" authorId="0" shapeId="0">
      <text>
        <r>
          <rPr>
            <b/>
            <sz val="9"/>
            <color indexed="81"/>
            <rFont val="Tahoma"/>
            <family val="2"/>
          </rPr>
          <t>Plangat: Please click to select an option. Each Option is rated e.g. 3,2,1.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25" authorId="0" shapeId="0">
      <text>
        <r>
          <rPr>
            <b/>
            <sz val="9"/>
            <color indexed="81"/>
            <rFont val="Tahoma"/>
            <family val="2"/>
          </rPr>
          <t>Plangat: Please click to select an option. Each Option is rated e.g. 3,2,1.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25" authorId="0" shapeId="0">
      <text>
        <r>
          <rPr>
            <b/>
            <sz val="9"/>
            <color indexed="81"/>
            <rFont val="Tahoma"/>
            <family val="2"/>
          </rPr>
          <t>Plangat: Please click to select an option. Each Option is rated e.g. 3,2,1.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25" authorId="0" shapeId="0">
      <text>
        <r>
          <rPr>
            <b/>
            <sz val="9"/>
            <color indexed="81"/>
            <rFont val="Tahoma"/>
            <family val="2"/>
          </rPr>
          <t>Plangat: Please click to select an option. Each Option is rated e.g. 3,2,1.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25" authorId="0" shapeId="0">
      <text>
        <r>
          <rPr>
            <b/>
            <sz val="9"/>
            <color indexed="81"/>
            <rFont val="Tahoma"/>
            <family val="2"/>
          </rPr>
          <t>Plangat: Please click to select an option. Each Option is rated e.g. 3,2,1.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6" authorId="0" shapeId="0">
      <text>
        <r>
          <rPr>
            <b/>
            <sz val="9"/>
            <color indexed="81"/>
            <rFont val="Tahoma"/>
            <family val="2"/>
          </rPr>
          <t>Plangat: Please click to select an option. Each Option is rated e.g. 3,2,1.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26" authorId="0" shapeId="0">
      <text>
        <r>
          <rPr>
            <b/>
            <sz val="9"/>
            <color indexed="81"/>
            <rFont val="Tahoma"/>
            <family val="2"/>
          </rPr>
          <t>Plangat: Please click to select an option. Each Option is rated e.g. 3,2,1.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26" authorId="0" shapeId="0">
      <text>
        <r>
          <rPr>
            <b/>
            <sz val="9"/>
            <color indexed="81"/>
            <rFont val="Tahoma"/>
            <family val="2"/>
          </rPr>
          <t>Plangat: Please click to select an option. Each Option is rated e.g. 3,2,1.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26" authorId="0" shapeId="0">
      <text>
        <r>
          <rPr>
            <b/>
            <sz val="9"/>
            <color indexed="81"/>
            <rFont val="Tahoma"/>
            <family val="2"/>
          </rPr>
          <t>Plangat: Please click to select an option. Each Option is rated e.g. 3,2,1.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26" authorId="0" shapeId="0">
      <text>
        <r>
          <rPr>
            <b/>
            <sz val="9"/>
            <color indexed="81"/>
            <rFont val="Tahoma"/>
            <family val="2"/>
          </rPr>
          <t>Plangat: Please click to select an option. Each Option is rated e.g. 3,2,1.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26" authorId="0" shapeId="0">
      <text>
        <r>
          <rPr>
            <b/>
            <sz val="9"/>
            <color indexed="81"/>
            <rFont val="Tahoma"/>
            <family val="2"/>
          </rPr>
          <t>Plangat: Please click to select an option. Each Option is rated e.g. 3,2,1.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26" authorId="0" shapeId="0">
      <text>
        <r>
          <rPr>
            <b/>
            <sz val="9"/>
            <color indexed="81"/>
            <rFont val="Tahoma"/>
            <family val="2"/>
          </rPr>
          <t>Plangat: Please click to select an option. Each Option is rated e.g. 3,2,1.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26" authorId="0" shapeId="0">
      <text>
        <r>
          <rPr>
            <b/>
            <sz val="9"/>
            <color indexed="81"/>
            <rFont val="Tahoma"/>
            <family val="2"/>
          </rPr>
          <t>Plangat: Please click to select an option. Each Option is rated e.g. 3,2,1.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26" authorId="0" shapeId="0">
      <text>
        <r>
          <rPr>
            <b/>
            <sz val="9"/>
            <color indexed="81"/>
            <rFont val="Tahoma"/>
            <family val="2"/>
          </rPr>
          <t>Plangat: Please click to select an option. Each Option is rated e.g. 3,2,1.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7" authorId="0" shapeId="0">
      <text>
        <r>
          <rPr>
            <b/>
            <sz val="9"/>
            <color indexed="81"/>
            <rFont val="Tahoma"/>
            <family val="2"/>
          </rPr>
          <t>Plangat: Please click to select an option. Each Option is rated e.g. 3,2,1.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27" authorId="0" shapeId="0">
      <text>
        <r>
          <rPr>
            <b/>
            <sz val="9"/>
            <color indexed="81"/>
            <rFont val="Tahoma"/>
            <family val="2"/>
          </rPr>
          <t>Plangat: Please click to select an option. Each Option is rated e.g. 3,2,1.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27" authorId="0" shapeId="0">
      <text>
        <r>
          <rPr>
            <b/>
            <sz val="9"/>
            <color indexed="81"/>
            <rFont val="Tahoma"/>
            <family val="2"/>
          </rPr>
          <t>Plangat: Please click to select an option. Each Option is rated e.g. 3,2,1.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27" authorId="0" shapeId="0">
      <text>
        <r>
          <rPr>
            <b/>
            <sz val="9"/>
            <color indexed="81"/>
            <rFont val="Tahoma"/>
            <family val="2"/>
          </rPr>
          <t>Plangat: Please click to select an option. Each Option is rated e.g. 3,2,1.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27" authorId="0" shapeId="0">
      <text>
        <r>
          <rPr>
            <b/>
            <sz val="9"/>
            <color indexed="81"/>
            <rFont val="Tahoma"/>
            <family val="2"/>
          </rPr>
          <t>Plangat: Please click to select an option. Each Option is rated e.g. 3,2,1.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27" authorId="0" shapeId="0">
      <text>
        <r>
          <rPr>
            <b/>
            <sz val="9"/>
            <color indexed="81"/>
            <rFont val="Tahoma"/>
            <family val="2"/>
          </rPr>
          <t>Plangat: Please click to select an option. Each Option is rated e.g. 3,2,1.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27" authorId="0" shapeId="0">
      <text>
        <r>
          <rPr>
            <b/>
            <sz val="9"/>
            <color indexed="81"/>
            <rFont val="Tahoma"/>
            <family val="2"/>
          </rPr>
          <t>Plangat: Please click to select an option. Each Option is rated e.g. 3,2,1.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27" authorId="0" shapeId="0">
      <text>
        <r>
          <rPr>
            <b/>
            <sz val="9"/>
            <color indexed="81"/>
            <rFont val="Tahoma"/>
            <family val="2"/>
          </rPr>
          <t>Plangat: Please click to select an option. Each Option is rated e.g. 3,2,1.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27" authorId="0" shapeId="0">
      <text>
        <r>
          <rPr>
            <b/>
            <sz val="9"/>
            <color indexed="81"/>
            <rFont val="Tahoma"/>
            <family val="2"/>
          </rPr>
          <t>Plangat: Please click to select an option. Each Option is rated e.g. 3,2,1.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>PLANGAT1</author>
  </authors>
  <commentList>
    <comment ref="C3" authorId="0" shapeId="0">
      <text>
        <r>
          <rPr>
            <b/>
            <sz val="9"/>
            <color indexed="81"/>
            <rFont val="Tahoma"/>
            <family val="2"/>
          </rPr>
          <t>PLANGAT1:</t>
        </r>
        <r>
          <rPr>
            <sz val="9"/>
            <color indexed="81"/>
            <rFont val="Tahoma"/>
            <family val="2"/>
          </rPr>
          <t xml:space="preserve">
Report for the Month of Nov 2023 received late on 8th nov 2023</t>
        </r>
      </text>
    </comment>
  </commentList>
</comments>
</file>

<file path=xl/sharedStrings.xml><?xml version="1.0" encoding="utf-8"?>
<sst xmlns="http://schemas.openxmlformats.org/spreadsheetml/2006/main" count="4149" uniqueCount="927">
  <si>
    <t>No.</t>
  </si>
  <si>
    <t>Item</t>
  </si>
  <si>
    <t>Nyansiongo</t>
  </si>
  <si>
    <t>Nyankoba</t>
  </si>
  <si>
    <t>Mwamu</t>
  </si>
  <si>
    <t>Nyamache</t>
  </si>
  <si>
    <t>Itumbe</t>
  </si>
  <si>
    <t>Ogembo</t>
  </si>
  <si>
    <t>Eberege</t>
  </si>
  <si>
    <t>Tombe</t>
  </si>
  <si>
    <t>Local Area Network (LAN)</t>
  </si>
  <si>
    <t>Wide Area Network (WAN)</t>
  </si>
  <si>
    <t>Gianchore</t>
  </si>
  <si>
    <t>Kebirigo</t>
  </si>
  <si>
    <t>Sanganyi</t>
  </si>
  <si>
    <t>Chaipro Financials</t>
  </si>
  <si>
    <t>Chaipro Factory/TVAP</t>
  </si>
  <si>
    <t>Chaipro Farmers</t>
  </si>
  <si>
    <t>Chaipro Fleet</t>
  </si>
  <si>
    <t>KTDA Replicator</t>
  </si>
  <si>
    <t>Chai Data</t>
  </si>
  <si>
    <t>Chai POS</t>
  </si>
  <si>
    <r>
      <t>Network Equipments</t>
    </r>
    <r>
      <rPr>
        <sz val="12"/>
        <rFont val="Times New Roman"/>
        <family val="1"/>
      </rPr>
      <t xml:space="preserve"> </t>
    </r>
    <r>
      <rPr>
        <b/>
        <sz val="10"/>
        <rFont val="Book Antiqua"/>
        <family val="1"/>
      </rPr>
      <t>(e.g. Switch, 2, Functional, any additional details)</t>
    </r>
  </si>
  <si>
    <r>
      <t>Software (</t>
    </r>
    <r>
      <rPr>
        <b/>
        <sz val="10"/>
        <rFont val="Book Antiqua"/>
        <family val="1"/>
      </rPr>
      <t>e.g. third party software) etc</t>
    </r>
  </si>
  <si>
    <r>
      <t xml:space="preserve">Hardware </t>
    </r>
    <r>
      <rPr>
        <b/>
        <sz val="10"/>
        <rFont val="Book Antiqua"/>
        <family val="1"/>
      </rPr>
      <t>(e.g. Servers, PCs, Laptops, UPS, DAs, Printers, Scanners, ESD, Fiscal Printers, Tablets)</t>
    </r>
  </si>
  <si>
    <r>
      <t>Other Equipment</t>
    </r>
    <r>
      <rPr>
        <b/>
        <u/>
        <sz val="11"/>
        <rFont val="Book Antiqua"/>
        <family val="1"/>
      </rPr>
      <t xml:space="preserve"> </t>
    </r>
    <r>
      <rPr>
        <b/>
        <sz val="10"/>
        <rFont val="Book Antiqua"/>
        <family val="1"/>
      </rPr>
      <t>(please specify)</t>
    </r>
  </si>
  <si>
    <t xml:space="preserve">Business Continuity Mechanism e.g. Backups </t>
  </si>
  <si>
    <t>Region 6</t>
  </si>
  <si>
    <t>No of 
Factories</t>
  </si>
  <si>
    <t>Average</t>
  </si>
  <si>
    <t>Issue</t>
  </si>
  <si>
    <t>Factories  
Affected</t>
  </si>
  <si>
    <t>% Uptime
Service</t>
  </si>
  <si>
    <t>Service</t>
  </si>
  <si>
    <t>No</t>
  </si>
  <si>
    <t>Factories  
Having Issues</t>
  </si>
  <si>
    <t>Summary of Issues</t>
  </si>
  <si>
    <t>Duration
(days)</t>
  </si>
  <si>
    <t>Tickets Raised</t>
  </si>
  <si>
    <t>Infrastructure</t>
  </si>
  <si>
    <t>ChaiPro</t>
  </si>
  <si>
    <t>BCP</t>
  </si>
  <si>
    <t>Inventory</t>
  </si>
  <si>
    <t>Region 1</t>
  </si>
  <si>
    <t>Region 2</t>
  </si>
  <si>
    <t>Region 3</t>
  </si>
  <si>
    <t>Region 4</t>
  </si>
  <si>
    <t>Region 5</t>
  </si>
  <si>
    <t>PURCHASES</t>
  </si>
  <si>
    <t>Purchases</t>
  </si>
  <si>
    <t>Cost vs budget</t>
  </si>
  <si>
    <t>Overall Performance</t>
  </si>
  <si>
    <t>All Regions Performance</t>
  </si>
  <si>
    <t>Target Performance</t>
  </si>
  <si>
    <t>KAMBAA</t>
  </si>
  <si>
    <t>KAGWE</t>
  </si>
  <si>
    <t>THETA</t>
  </si>
  <si>
    <t>GACHEGE</t>
  </si>
  <si>
    <t>MATAARA</t>
  </si>
  <si>
    <t>NGERE</t>
  </si>
  <si>
    <t>NJUNU</t>
  </si>
  <si>
    <t>MAKOS</t>
  </si>
  <si>
    <t>NDUTI</t>
  </si>
  <si>
    <t>IKUMBI</t>
  </si>
  <si>
    <t>GACHARAGE</t>
  </si>
  <si>
    <t>3.2.5.1</t>
  </si>
  <si>
    <t>1.0.0.3</t>
  </si>
  <si>
    <t>Total Cost</t>
  </si>
  <si>
    <t>Ragati</t>
  </si>
  <si>
    <t>Gathuthi</t>
  </si>
  <si>
    <t>Gitugi</t>
  </si>
  <si>
    <t>Iriaini</t>
  </si>
  <si>
    <t>Chinga</t>
  </si>
  <si>
    <t>Kiru</t>
  </si>
  <si>
    <t>Gatunguru</t>
  </si>
  <si>
    <t>Kanyenyaini</t>
  </si>
  <si>
    <t>Githambo</t>
  </si>
  <si>
    <t>Mununga</t>
  </si>
  <si>
    <t>Kangaita</t>
  </si>
  <si>
    <t>Kimunye</t>
  </si>
  <si>
    <t>Thumaita</t>
  </si>
  <si>
    <t>Kathangariri</t>
  </si>
  <si>
    <t>Mungania</t>
  </si>
  <si>
    <t>Rukuriri</t>
  </si>
  <si>
    <t>NDIMA</t>
  </si>
  <si>
    <t>MUNUNGA</t>
  </si>
  <si>
    <t>KANGAITA</t>
  </si>
  <si>
    <t>KIMUNYE</t>
  </si>
  <si>
    <t>THUMAITA</t>
  </si>
  <si>
    <t>KATHANGARIRI</t>
  </si>
  <si>
    <t>MUNGANIA</t>
  </si>
  <si>
    <t>RUKURIRI</t>
  </si>
  <si>
    <t>Chebut</t>
  </si>
  <si>
    <t>Kaptumo</t>
  </si>
  <si>
    <t>Mudete</t>
  </si>
  <si>
    <t>Kapsara</t>
  </si>
  <si>
    <t>Kiamokama</t>
  </si>
  <si>
    <t>Working</t>
  </si>
  <si>
    <t>No Issue Reported</t>
  </si>
  <si>
    <t>Region 5 &amp; 7</t>
  </si>
  <si>
    <t>Variance</t>
  </si>
  <si>
    <t>Total Budget</t>
  </si>
  <si>
    <t>Domino in Use</t>
  </si>
  <si>
    <t>Regions 1-7</t>
  </si>
  <si>
    <t>Kiegoi</t>
  </si>
  <si>
    <t>Michimikuru</t>
  </si>
  <si>
    <t>Githongo</t>
  </si>
  <si>
    <t>Imenti</t>
  </si>
  <si>
    <t>Kionyo</t>
  </si>
  <si>
    <t>Kinoro</t>
  </si>
  <si>
    <t>Igembe</t>
  </si>
  <si>
    <t>Weru</t>
  </si>
  <si>
    <t>2.8.0.0</t>
  </si>
  <si>
    <t>Recurrent costs for the month</t>
  </si>
  <si>
    <t>Gacharage</t>
  </si>
  <si>
    <t>Capital costs for the month</t>
  </si>
  <si>
    <t xml:space="preserve">Total Cost for month </t>
  </si>
  <si>
    <t>NDARUGU</t>
  </si>
  <si>
    <t>Kambaa</t>
  </si>
  <si>
    <t>Kagwe</t>
  </si>
  <si>
    <t>Theta</t>
  </si>
  <si>
    <t>Ndarugu</t>
  </si>
  <si>
    <t>Gachege</t>
  </si>
  <si>
    <t>Mataara</t>
  </si>
  <si>
    <t>Ngere</t>
  </si>
  <si>
    <t>Ikumbi</t>
  </si>
  <si>
    <t>Nduti</t>
  </si>
  <si>
    <t xml:space="preserve">Recurrent to date </t>
  </si>
  <si>
    <t>Capital to date</t>
  </si>
  <si>
    <t>TOTALS</t>
  </si>
  <si>
    <t>Njunu</t>
  </si>
  <si>
    <t>Total</t>
  </si>
  <si>
    <t>Region 7</t>
  </si>
  <si>
    <t>2.5.5.9</t>
  </si>
  <si>
    <t>2.5.2.7</t>
  </si>
  <si>
    <t>KAPKATET</t>
  </si>
  <si>
    <t>MOMUL</t>
  </si>
  <si>
    <t>TEGAT</t>
  </si>
  <si>
    <t>CHELAL</t>
  </si>
  <si>
    <t>LITEIN</t>
  </si>
  <si>
    <t>TOROR</t>
  </si>
  <si>
    <t>KAPSET</t>
  </si>
  <si>
    <t>KOBEL</t>
  </si>
  <si>
    <t>KAPKOROS</t>
  </si>
  <si>
    <t>ROROK</t>
  </si>
  <si>
    <t>BOITO</t>
  </si>
  <si>
    <t xml:space="preserve">Version 10 fully operational </t>
  </si>
  <si>
    <t>MOTIGO</t>
  </si>
  <si>
    <t>Sombogo</t>
  </si>
  <si>
    <t>Michi</t>
  </si>
  <si>
    <t>Recurrent to date</t>
  </si>
  <si>
    <t>Recurrent costs for the Month</t>
  </si>
  <si>
    <t>Capital costs for the Month</t>
  </si>
  <si>
    <t>Total cost for the Month</t>
  </si>
  <si>
    <t>SAP Module-FICO/MM</t>
  </si>
  <si>
    <t>SAP Module-PP/PM</t>
  </si>
  <si>
    <t>TEBES</t>
  </si>
  <si>
    <t>MOGOGO</t>
  </si>
  <si>
    <t>OLENGURUONE</t>
  </si>
  <si>
    <t>ChaiPro/SAP</t>
  </si>
  <si>
    <t>TIRGAGA</t>
  </si>
  <si>
    <t>Makos</t>
  </si>
  <si>
    <t>Total Budget  2024/2025</t>
  </si>
  <si>
    <t>3.0.0.1</t>
  </si>
  <si>
    <t>Matunwa</t>
  </si>
  <si>
    <t xml:space="preserve"> </t>
  </si>
  <si>
    <t>Total Cost for month</t>
  </si>
  <si>
    <t>Total Cost to date 2023/2024</t>
  </si>
  <si>
    <t>Total Cost to date 2025/2026</t>
  </si>
  <si>
    <t>Total Budget  2025/2026</t>
  </si>
  <si>
    <t>Common Issues /Trend Noted</t>
  </si>
  <si>
    <t>Recurrent to date as at AUG 25</t>
  </si>
  <si>
    <t>Capital to date as at AUG 25</t>
  </si>
  <si>
    <t>Total Cost As at AUG FOR  ICT Fin. Yr 25.26</t>
  </si>
  <si>
    <t>BUDGET 25.26</t>
  </si>
  <si>
    <t>Item/Factory</t>
  </si>
  <si>
    <t>Recurrent costs (month)</t>
  </si>
  <si>
    <t>Capital costs (month)</t>
  </si>
  <si>
    <t xml:space="preserve">Recurrent (To Date) </t>
  </si>
  <si>
    <t>39560 </t>
  </si>
  <si>
    <t>6420 </t>
  </si>
  <si>
    <t>27168 </t>
  </si>
  <si>
    <t>Capital Costs (To Date)</t>
  </si>
  <si>
    <t>Total Cost to date (2025/2026)</t>
  </si>
  <si>
    <t> 39560</t>
  </si>
  <si>
    <t> 6420</t>
  </si>
  <si>
    <t> 27168</t>
  </si>
  <si>
    <t>Total Budget  (2025/2026)</t>
  </si>
  <si>
    <t>Total cost to date 2025/2026</t>
  </si>
  <si>
    <t>Total budget 2025/2026</t>
  </si>
  <si>
    <t>0 </t>
  </si>
  <si>
    <t>Total Cost (month)</t>
  </si>
  <si>
    <t> 0</t>
  </si>
  <si>
    <t>-</t>
  </si>
  <si>
    <t xml:space="preserve">KIMUNYE </t>
  </si>
  <si>
    <t xml:space="preserve">MUNGANIA </t>
  </si>
  <si>
    <t>2,8,000,000.00</t>
  </si>
  <si>
    <t>477.900.00</t>
  </si>
  <si>
    <t>Comments</t>
  </si>
  <si>
    <t xml:space="preserve">No capital items purchased yet. </t>
  </si>
  <si>
    <t>Total ICT costs for the Month</t>
  </si>
  <si>
    <t>Safaricom Backup VPN Line Status</t>
  </si>
  <si>
    <t>Firewall</t>
  </si>
  <si>
    <t>E-Mail Server</t>
  </si>
  <si>
    <t>Business Servers (EWS, Chaipro)</t>
  </si>
  <si>
    <t>Electronic Weighment Solution (EWS Version)</t>
  </si>
  <si>
    <t>1.0.52</t>
  </si>
  <si>
    <t>1.0.57</t>
  </si>
  <si>
    <t>EWS Kits</t>
  </si>
  <si>
    <t xml:space="preserve">EWS Kits10+ 2 Spare Kits </t>
  </si>
  <si>
    <t xml:space="preserve">EWS Kits 9+ 2 Spare Kits </t>
  </si>
  <si>
    <t xml:space="preserve">EWS Kits 7+ 2 Spare Kits </t>
  </si>
  <si>
    <t xml:space="preserve">EWS Kits 7+ 1 Spare Kits </t>
  </si>
  <si>
    <t xml:space="preserve">EWS Kits 8+ 2 Spare Kits </t>
  </si>
  <si>
    <t xml:space="preserve">EWS Kits15+ 1 Spare Kit </t>
  </si>
  <si>
    <t xml:space="preserve">EWS Kits 7+ 1 Spare Kit </t>
  </si>
  <si>
    <t xml:space="preserve">EWS Kits14+ 1 Spare Kits </t>
  </si>
  <si>
    <t>EWS Kits 6+ 1 Spare Kit</t>
  </si>
  <si>
    <t xml:space="preserve">EWS Kits 8+ 1 Spare Kit </t>
  </si>
  <si>
    <t>Printer (NFC Card &amp; DFX)</t>
  </si>
  <si>
    <t xml:space="preserve">Fully Operational  </t>
  </si>
  <si>
    <t>WeighBridge Status</t>
  </si>
  <si>
    <t>Weighbridge not Installed</t>
  </si>
  <si>
    <t>CCTV</t>
  </si>
  <si>
    <t>NVR has issues of hanging and thus having issues with retrieving data.</t>
  </si>
  <si>
    <t xml:space="preserve">30 CAMERAS WORKING OK.3 CAMERAS UNDER REPAIR. </t>
  </si>
  <si>
    <t>CCTV is not functional – Faulty NVR and 2 cameras</t>
  </si>
  <si>
    <t>OK- no of cameras-25 and 20working\ 5not working</t>
  </si>
  <si>
    <t>17 CAMERA NOT WORKING DUE TO ONGOING CONTRUCTION DEMOLISION OF OLD STORE</t>
  </si>
  <si>
    <t>Request for upgrade done by KTDA security Manager and RICTM</t>
  </si>
  <si>
    <t>32 cameras installed 29 working</t>
  </si>
  <si>
    <t>32 cameras 28 working 4 faulty</t>
  </si>
  <si>
    <t>41 CAMERAS IN OPERATION</t>
  </si>
  <si>
    <t>Operational, 5 Cameras not working. Needs an Upgrade</t>
  </si>
  <si>
    <t>SAP Connection (PRD,PSM)</t>
  </si>
  <si>
    <t>WORKING OK</t>
  </si>
  <si>
    <t>AFMS</t>
  </si>
  <si>
    <t>Not Installed</t>
  </si>
  <si>
    <t>Installed</t>
  </si>
  <si>
    <t>Any other</t>
  </si>
  <si>
    <t>LAN Upgrade completed</t>
  </si>
  <si>
    <t>LAN Upgrade not done</t>
  </si>
  <si>
    <t xml:space="preserve">on Last mile Fibre </t>
  </si>
  <si>
    <t>Microwave-Viable on last mile Fibre</t>
  </si>
  <si>
    <t>on Microwave</t>
  </si>
  <si>
    <t>ok</t>
  </si>
  <si>
    <t>Sophos License Expired</t>
  </si>
  <si>
    <t>Sophos License Valid</t>
  </si>
  <si>
    <t xml:space="preserve">Lotus Domino </t>
  </si>
  <si>
    <t>Working OK Cat5</t>
  </si>
  <si>
    <t>Working OK Cat 6</t>
  </si>
  <si>
    <t>Working OK Cat6</t>
  </si>
  <si>
    <t xml:space="preserve">Working OK </t>
  </si>
  <si>
    <t>OK</t>
  </si>
  <si>
    <t>Ok</t>
  </si>
  <si>
    <t>OKAY</t>
  </si>
  <si>
    <t>Working well</t>
  </si>
  <si>
    <t>NO FIREWALL</t>
  </si>
  <si>
    <t>N/A</t>
  </si>
  <si>
    <t>NOT WORKING</t>
  </si>
  <si>
    <t>OK though space needs to be increased</t>
  </si>
  <si>
    <t>VER.58</t>
  </si>
  <si>
    <t>VER. .58</t>
  </si>
  <si>
    <t>AMITY ver .52</t>
  </si>
  <si>
    <t>12 KITS</t>
  </si>
  <si>
    <t>All OK</t>
  </si>
  <si>
    <t>Working OK (calibration done)</t>
  </si>
  <si>
    <t>OKAY -NEEDS SERVICING</t>
  </si>
  <si>
    <t>STABLE</t>
  </si>
  <si>
    <t>None</t>
  </si>
  <si>
    <t>NONE</t>
  </si>
  <si>
    <t xml:space="preserve">Ndima </t>
  </si>
  <si>
    <t>not installed</t>
  </si>
  <si>
    <t>NOT INSTALLED</t>
  </si>
  <si>
    <t>License has expired</t>
  </si>
  <si>
    <t>installed</t>
  </si>
  <si>
    <t>Amity V52</t>
  </si>
  <si>
    <t>VIRTUAL CITY  3.1.5.6</t>
  </si>
  <si>
    <t>12 WORKING 2 FAULTY SCALES</t>
  </si>
  <si>
    <t>13 WORKING 2 SCALE UNECONOMICAL</t>
  </si>
  <si>
    <t>3 PDAS uneconomical to repair - boarded</t>
  </si>
  <si>
    <t xml:space="preserve"> 15 WORKING 3 PDAS uneconomical to repair - boarded</t>
  </si>
  <si>
    <t>DTC4500e, DFX9000</t>
  </si>
  <si>
    <t>needs upgrading</t>
  </si>
  <si>
    <t>25 cameras in use all are online</t>
  </si>
  <si>
    <t>42 cameras FACTORY LINK DOWN</t>
  </si>
  <si>
    <t>working ok</t>
  </si>
  <si>
    <t>requires upgrading</t>
  </si>
  <si>
    <t>27 cameras in use all are online</t>
  </si>
  <si>
    <t>172.16.10.151</t>
  </si>
  <si>
    <t>2.5.2.8</t>
  </si>
  <si>
    <t>TEBESONIK</t>
  </si>
  <si>
    <t>MOGOGOSIEK</t>
  </si>
  <si>
    <t>TRIGAGA</t>
  </si>
  <si>
    <t>OLENGRUONE</t>
  </si>
  <si>
    <t>Okay</t>
  </si>
  <si>
    <t>WORKING</t>
  </si>
  <si>
    <t xml:space="preserve">Working </t>
  </si>
  <si>
    <t>Fully functional</t>
  </si>
  <si>
    <t>okay</t>
  </si>
  <si>
    <t>Fully Functional</t>
  </si>
  <si>
    <t xml:space="preserve">OK </t>
  </si>
  <si>
    <t>Safaricom Backup VPN Line status</t>
  </si>
  <si>
    <t>In place and active</t>
  </si>
  <si>
    <t>Not in place</t>
  </si>
  <si>
    <t>Not installed</t>
  </si>
  <si>
    <t>Unavailable</t>
  </si>
  <si>
    <t xml:space="preserve">Not available, </t>
  </si>
  <si>
    <t>Fully functional (domino\Exchange)</t>
  </si>
  <si>
    <t>GMS In Use</t>
  </si>
  <si>
    <t>Electronic Weighment Solution (EWS version)</t>
  </si>
  <si>
    <t>3.1.5.6</t>
  </si>
  <si>
    <t>1.0.0.56</t>
  </si>
  <si>
    <t>1.0.0.57</t>
  </si>
  <si>
    <t>VER 52</t>
  </si>
  <si>
    <t>7 Operational 1 spare</t>
  </si>
  <si>
    <t>12 Operational 1 spare</t>
  </si>
  <si>
    <t xml:space="preserve">Okay </t>
  </si>
  <si>
    <t>OK one spare scale</t>
  </si>
  <si>
    <t>Both Okay</t>
  </si>
  <si>
    <t>NFC – Unavailable DFX –  Working</t>
  </si>
  <si>
    <t>NFC – Working DFX – Not Working</t>
  </si>
  <si>
    <t>NFC card faulty ,in HQ, Dfx Okay</t>
  </si>
  <si>
    <t>Working DFX Faulty</t>
  </si>
  <si>
    <t>NFC card Printer not available, Dfx faulty sprocket, faulty Printer head, mechanism Jam</t>
  </si>
  <si>
    <t>Not Available</t>
  </si>
  <si>
    <t>Weighbridge</t>
  </si>
  <si>
    <t>11 Cameras</t>
  </si>
  <si>
    <t>All Cameras Working except 1</t>
  </si>
  <si>
    <t>29 Cameras</t>
  </si>
  <si>
    <t>All Cameras Working</t>
  </si>
  <si>
    <t>Okay,10  cameras not up</t>
  </si>
  <si>
    <t>OK.</t>
  </si>
  <si>
    <t>SAP Connection (PRD, PSM)</t>
  </si>
  <si>
    <t xml:space="preserve">Still waiting for the installation </t>
  </si>
  <si>
    <t>Not yet incorporated</t>
  </si>
  <si>
    <t>Not In place</t>
  </si>
  <si>
    <t>Website development underway</t>
  </si>
  <si>
    <t>EWS VPN lines are not working</t>
  </si>
  <si>
    <t>EWS Lines are not working</t>
  </si>
  <si>
    <t xml:space="preserve"> Ok</t>
  </si>
  <si>
    <t>Ok – Cisco Server</t>
  </si>
  <si>
    <t>Ok     Ver.52</t>
  </si>
  <si>
    <t>Ok     12 kits</t>
  </si>
  <si>
    <t>We don’t have NFC &amp; DFX is Faulty</t>
  </si>
  <si>
    <t>OK,</t>
  </si>
  <si>
    <t>OK 8 cameras not working</t>
  </si>
  <si>
    <t>25 Working
6 Disconnected due to fac expansion.</t>
  </si>
  <si>
    <t>n/a</t>
  </si>
  <si>
    <t>In Kaptumo</t>
  </si>
  <si>
    <t>DFX requires Head Replacement</t>
  </si>
  <si>
    <t>ETR Device</t>
  </si>
  <si>
    <t>OPERATIONAL</t>
  </si>
  <si>
    <t>SMS Portal/USSD 
(Date growers received)</t>
  </si>
  <si>
    <t>3rd October</t>
  </si>
  <si>
    <t>% NFC Card Usage</t>
  </si>
  <si>
    <t>NOT ADEQUATE- Request sent via RICTM to KTDA security manager for CCTV Assessment for additional cameras and repair of faulty ones</t>
  </si>
  <si>
    <t>Network Equipment (e.g. Switches and routers functionality and any other additional information)</t>
  </si>
  <si>
    <t>Fully Operational</t>
  </si>
  <si>
    <t>Software (e.g. 3rd party, Licenses, etc.)</t>
  </si>
  <si>
    <t>Procured 10 Licences for Microsoft 2016</t>
  </si>
  <si>
    <t xml:space="preserve">Procured 5 Licences for Microsoft 2016 </t>
  </si>
  <si>
    <t xml:space="preserve">Procured 6 Licences for Microsoft 2016 </t>
  </si>
  <si>
    <t>Procured 10 Licences for icrosoft 2016</t>
  </si>
  <si>
    <t>EWS software, Windows server software, Office 2016.</t>
  </si>
  <si>
    <t>Procured 5 Licences for Microsoft 2016</t>
  </si>
  <si>
    <t>Procured 5 Licences for microsoft 2016</t>
  </si>
  <si>
    <t>Procured 10 Licenses for Microsoft 2016 in October</t>
  </si>
  <si>
    <t> Raised an order of 7 Microsoft 2016 office</t>
  </si>
  <si>
    <t>OPERATIONALIZED for MS office licenses</t>
  </si>
  <si>
    <t>Procured 7 Licences for Microsoft 2016</t>
  </si>
  <si>
    <t>Hardware (e.g. Servers,</t>
  </si>
  <si>
    <t xml:space="preserve"> PCs, </t>
  </si>
  <si>
    <t>Laptops,</t>
  </si>
  <si>
    <t>UPS's</t>
  </si>
  <si>
    <t xml:space="preserve"> Das,</t>
  </si>
  <si>
    <t xml:space="preserve"> Printers, </t>
  </si>
  <si>
    <t xml:space="preserve">Scanners, </t>
  </si>
  <si>
    <t xml:space="preserve">ESD, </t>
  </si>
  <si>
    <t>Fiscal Printers)</t>
  </si>
  <si>
    <t>Tablets</t>
  </si>
  <si>
    <t>EWS              (Working)</t>
  </si>
  <si>
    <t>PDA</t>
  </si>
  <si>
    <t>SCALE</t>
  </si>
  <si>
    <t>PRINTER</t>
  </si>
  <si>
    <t xml:space="preserve"> Other Equipment (please specify)</t>
  </si>
  <si>
    <t>none</t>
  </si>
  <si>
    <t>Onsite Backup</t>
  </si>
  <si>
    <t>In place</t>
  </si>
  <si>
    <t>Remote Backup</t>
  </si>
  <si>
    <t>Mail Server Backup (Date)</t>
  </si>
  <si>
    <t>18,100 </t>
  </si>
  <si>
    <t>218,080 </t>
  </si>
  <si>
    <t>48,000 </t>
  </si>
  <si>
    <t>260,000 </t>
  </si>
  <si>
    <t>183,816 </t>
  </si>
  <si>
    <t> 415,810</t>
  </si>
  <si>
    <t> 50,168</t>
  </si>
  <si>
    <t> 260,000</t>
  </si>
  <si>
    <t> 218,080</t>
  </si>
  <si>
    <t xml:space="preserve">Automated Full Back up on external hard drive </t>
  </si>
  <si>
    <t>Weighbridge PC</t>
  </si>
  <si>
    <t>Done at the weighbridge pc</t>
  </si>
  <si>
    <t>Region office 4:00am</t>
  </si>
  <si>
    <t>Regional office 10:50 pm</t>
  </si>
  <si>
    <t>Regional office 2:50 pm</t>
  </si>
  <si>
    <t>Regional office 11:55 pm</t>
  </si>
  <si>
    <t>Regional office 10:05 pm</t>
  </si>
  <si>
    <t>[3.10.2025]</t>
  </si>
  <si>
    <t>[03.10.2025]</t>
  </si>
  <si>
    <t>SQL chaipro backup EWS 2 Backup</t>
  </si>
  <si>
    <t>Back to PC machine Back up to External HDD</t>
  </si>
  <si>
    <t>Back to A PC machine Back up to External HDD</t>
  </si>
  <si>
    <t>Back to PC  machine Back up to External HDD</t>
  </si>
  <si>
    <t>Back to PCmachine Back up to External HDD</t>
  </si>
  <si>
    <t>Not yet active</t>
  </si>
  <si>
    <t>Back up done on 30/9</t>
  </si>
  <si>
    <t>2 pcs – Utilized 1 pc – under repair</t>
  </si>
  <si>
    <t>New TIMS ETR in use</t>
  </si>
  <si>
    <t>2.10.2025</t>
  </si>
  <si>
    <t>2025-09-02 – Utilized</t>
  </si>
  <si>
    <t xml:space="preserve">THUMAITA </t>
  </si>
  <si>
    <t>2.5.5.9……not in use, we are On SAP</t>
  </si>
  <si>
    <t>2.5.6.0 (Legacy)</t>
  </si>
  <si>
    <t>Okay - Ver. 2.5.5.9</t>
  </si>
  <si>
    <t>Partially Used</t>
  </si>
  <si>
    <t>Fully on SAP</t>
  </si>
  <si>
    <t>Chaipro Factory/ TVAP</t>
  </si>
  <si>
    <t>2.5.2.7…… partially utilized</t>
  </si>
  <si>
    <t>2.5.2.7 (Legacy)</t>
  </si>
  <si>
    <t>Okay - 2.5.2.7</t>
  </si>
  <si>
    <t>Fully utilized</t>
  </si>
  <si>
    <t>3.0.0.1 (Fully Utilized)</t>
  </si>
  <si>
    <t>Okay - 3.0.0.1</t>
  </si>
  <si>
    <t>3.0.0.1 - fully utilized.</t>
  </si>
  <si>
    <t>3.2.5.1 partially utilized</t>
  </si>
  <si>
    <t>3.2.1.1 (Legacy)</t>
  </si>
  <si>
    <t>Okay - 3.2.5.1</t>
  </si>
  <si>
    <t>3.2.5.1 - Partly utilized.</t>
  </si>
  <si>
    <t>0.0.0.1</t>
  </si>
  <si>
    <t>Fully  utilized</t>
  </si>
  <si>
    <t>010 Fully Utilized</t>
  </si>
  <si>
    <t>fully utilized.</t>
  </si>
  <si>
    <t>replication software installed and working ok</t>
  </si>
  <si>
    <t>N/a</t>
  </si>
  <si>
    <t>1.0.0.3 (Legacy)</t>
  </si>
  <si>
    <t>3rd Oct</t>
  </si>
  <si>
    <t>Ok 2.5.5.9</t>
  </si>
  <si>
    <t>Ok 2.5.2.7</t>
  </si>
  <si>
    <t>Ok 3.0.0.1</t>
  </si>
  <si>
    <t>Ok 3.2.5.1</t>
  </si>
  <si>
    <t>Ok 0.0.0.1</t>
  </si>
  <si>
    <t>Functional</t>
  </si>
  <si>
    <t>2.5.6.0</t>
  </si>
  <si>
    <t xml:space="preserve">2.5.5.9  Retired by SAP </t>
  </si>
  <si>
    <t>Working 2.5.5.8</t>
  </si>
  <si>
    <t xml:space="preserve"> OK 2.5.5.9 </t>
  </si>
  <si>
    <t>2.5.5.7</t>
  </si>
  <si>
    <t>2.5.2.7  Retired by SAP</t>
  </si>
  <si>
    <t>Working 2.5.2.7</t>
  </si>
  <si>
    <t xml:space="preserve">OK 2.5.2.7 </t>
  </si>
  <si>
    <t>3.0.0</t>
  </si>
  <si>
    <t>3.0.0   Fully utilized</t>
  </si>
  <si>
    <t>Working 3.0.0.2</t>
  </si>
  <si>
    <t>Working 3.0.0.1</t>
  </si>
  <si>
    <t xml:space="preserve">OK 3.0.0.2   </t>
  </si>
  <si>
    <t>3.0.0.2</t>
  </si>
  <si>
    <t>3.0.3</t>
  </si>
  <si>
    <t>1.0.6</t>
  </si>
  <si>
    <t>3.2.5.1  Partially… in use</t>
  </si>
  <si>
    <t>Working 3.2.5.1</t>
  </si>
  <si>
    <t>VER010</t>
  </si>
  <si>
    <t>2.2 Fully utilized</t>
  </si>
  <si>
    <t>Not in use</t>
  </si>
  <si>
    <t>INCOTEX181</t>
  </si>
  <si>
    <t xml:space="preserve"> 4 pcs</t>
  </si>
  <si>
    <t>2.0.1.5  Fully in use</t>
  </si>
  <si>
    <t>Incotext 181</t>
  </si>
  <si>
    <t>SMS Portal/USSD (Date the growers received)</t>
  </si>
  <si>
    <t>02.10.2025</t>
  </si>
  <si>
    <r>
      <t>Growers normally receive the sms on 2</t>
    </r>
    <r>
      <rPr>
        <vertAlign val="superscript"/>
        <sz val="10"/>
        <color theme="1"/>
        <rFont val="Century Gothic"/>
        <family val="2"/>
      </rPr>
      <t>nd</t>
    </r>
    <r>
      <rPr>
        <sz val="10"/>
        <color theme="1"/>
        <rFont val="Century Gothic"/>
        <family val="2"/>
      </rPr>
      <t xml:space="preserve"> day .</t>
    </r>
  </si>
  <si>
    <r>
      <t>3</t>
    </r>
    <r>
      <rPr>
        <vertAlign val="superscript"/>
        <sz val="10"/>
        <color theme="1"/>
        <rFont val="Century Gothic"/>
        <family val="2"/>
      </rPr>
      <t>rd</t>
    </r>
    <r>
      <rPr>
        <sz val="10"/>
        <color theme="1"/>
        <rFont val="Century Gothic"/>
        <family val="2"/>
      </rPr>
      <t xml:space="preserve"> Oct 2025</t>
    </r>
  </si>
  <si>
    <t>% NFC Card usage</t>
  </si>
  <si>
    <t>Ok, Though not 100% registered.</t>
  </si>
  <si>
    <t>At 100%</t>
  </si>
  <si>
    <r>
      <t xml:space="preserve">2.5.5.9  </t>
    </r>
    <r>
      <rPr>
        <sz val="10"/>
        <rFont val="Century Gothic"/>
        <family val="2"/>
      </rPr>
      <t>Partially utilized</t>
    </r>
  </si>
  <si>
    <t xml:space="preserve">2.5.5.9           </t>
  </si>
  <si>
    <r>
      <t xml:space="preserve">2.5.2.7  </t>
    </r>
    <r>
      <rPr>
        <sz val="10"/>
        <rFont val="Century Gothic"/>
        <family val="2"/>
      </rPr>
      <t>Partially utilized</t>
    </r>
  </si>
  <si>
    <t xml:space="preserve">2.5.2.7  </t>
  </si>
  <si>
    <r>
      <t xml:space="preserve">3.0.0.1  </t>
    </r>
    <r>
      <rPr>
        <sz val="10"/>
        <rFont val="Century Gothic"/>
        <family val="2"/>
      </rPr>
      <t>Being fully utilized</t>
    </r>
  </si>
  <si>
    <r>
      <t xml:space="preserve">3.2.5.1  </t>
    </r>
    <r>
      <rPr>
        <sz val="10"/>
        <rFont val="Century Gothic"/>
        <family val="2"/>
      </rPr>
      <t>Partially utilized</t>
    </r>
  </si>
  <si>
    <t xml:space="preserve">0.0.0.1   </t>
  </si>
  <si>
    <r>
      <t>3</t>
    </r>
    <r>
      <rPr>
        <vertAlign val="superscript"/>
        <sz val="10"/>
        <rFont val="Century Gothic"/>
        <family val="2"/>
      </rPr>
      <t>rd</t>
    </r>
    <r>
      <rPr>
        <sz val="10"/>
        <rFont val="Century Gothic"/>
        <family val="2"/>
      </rPr>
      <t xml:space="preserve"> Oct</t>
    </r>
  </si>
  <si>
    <t>2.5.5.9,Decommissined</t>
  </si>
  <si>
    <t>2.5.2.7, Working</t>
  </si>
  <si>
    <t>3.0.0.2, Working</t>
  </si>
  <si>
    <t>3.2.5.1, Working</t>
  </si>
  <si>
    <t>Not in Use</t>
  </si>
  <si>
    <t>Working, received on 03/10/25</t>
  </si>
  <si>
    <t>2.5.5.8 -fully utilized.</t>
  </si>
  <si>
    <t>2.5.5.8-fully utilized.</t>
  </si>
  <si>
    <t xml:space="preserve">2.5.2.7 - fully utilized. </t>
  </si>
  <si>
    <t>2.5.2.7 - fully utilized.</t>
  </si>
  <si>
    <t>3.2.5.1 - fully utilized.</t>
  </si>
  <si>
    <t>Functional.</t>
  </si>
  <si>
    <t>Fully utilized.</t>
  </si>
  <si>
    <t>1.0.0.3 - fully utilized.</t>
  </si>
  <si>
    <t>functional</t>
  </si>
  <si>
    <t xml:space="preserve">NDIMA </t>
  </si>
  <si>
    <t>PM’s Office Switch</t>
  </si>
  <si>
    <t xml:space="preserve">Hub FSC Office </t>
  </si>
  <si>
    <t>FACTORY and LEAFBASE</t>
  </si>
  <si>
    <t>Server room Switch</t>
  </si>
  <si>
    <t>1 cabinet –server room</t>
  </si>
  <si>
    <t>AFA’s Office</t>
  </si>
  <si>
    <t>Switch -FUM Office</t>
  </si>
  <si>
    <t>1 cabinet – Fsc office</t>
  </si>
  <si>
    <t>Switch -Server Room</t>
  </si>
  <si>
    <t>Weighbridge switch</t>
  </si>
  <si>
    <t>Cisco router – server room</t>
  </si>
  <si>
    <t>NFC Card Printing software ok.</t>
  </si>
  <si>
    <t>PCs -15</t>
  </si>
  <si>
    <t>PCs -14</t>
  </si>
  <si>
    <t>PCs -13</t>
  </si>
  <si>
    <t>9PC'S</t>
  </si>
  <si>
    <t>7PC'S</t>
  </si>
  <si>
    <t>SAP in place</t>
  </si>
  <si>
    <t xml:space="preserve">Laptops -9 </t>
  </si>
  <si>
    <t>LAPTOPS 11</t>
  </si>
  <si>
    <t>LAPTOPS 12</t>
  </si>
  <si>
    <t>13 LAPTOPS</t>
  </si>
  <si>
    <t>5  LAPTOPS</t>
  </si>
  <si>
    <t>3  Servers</t>
  </si>
  <si>
    <t xml:space="preserve">IBM X3500 </t>
  </si>
  <si>
    <t>SERVERS 3</t>
  </si>
  <si>
    <t>3SERVERS</t>
  </si>
  <si>
    <t>1 SERVER</t>
  </si>
  <si>
    <t>3 SERVERS</t>
  </si>
  <si>
    <t>10 PCs</t>
  </si>
  <si>
    <t>IBM X3500 M3</t>
  </si>
  <si>
    <t>13 Laptops</t>
  </si>
  <si>
    <t>5 LAPTOPS</t>
  </si>
  <si>
    <t>7 Laptops</t>
  </si>
  <si>
    <t>8 Laptops</t>
  </si>
  <si>
    <t>Cisco Server</t>
  </si>
  <si>
    <t>PRINTERS 5</t>
  </si>
  <si>
    <t>PRINTERS 6</t>
  </si>
  <si>
    <t>9 printers</t>
  </si>
  <si>
    <t>5 PRINTERS</t>
  </si>
  <si>
    <t xml:space="preserve">10 UPS </t>
  </si>
  <si>
    <t>2SCANNERS</t>
  </si>
  <si>
    <t>SCANNER on printers</t>
  </si>
  <si>
    <t>2 SCANNERS</t>
  </si>
  <si>
    <t>2 SCANERS</t>
  </si>
  <si>
    <t>3  SCANNERS</t>
  </si>
  <si>
    <t xml:space="preserve">10 Printers </t>
  </si>
  <si>
    <t>1 etr Machine</t>
  </si>
  <si>
    <t>1 ETR</t>
  </si>
  <si>
    <t>Scanners</t>
  </si>
  <si>
    <t>Printer-DFX 9000,DTC,HP</t>
  </si>
  <si>
    <t>NA</t>
  </si>
  <si>
    <t>budgeted</t>
  </si>
  <si>
    <t>Fortnet Firewall</t>
  </si>
  <si>
    <t>BUDGETED</t>
  </si>
  <si>
    <t>7 tablets</t>
  </si>
  <si>
    <t>6 (Directors)</t>
  </si>
  <si>
    <t>6 mini laptops</t>
  </si>
  <si>
    <t>1 tablets</t>
  </si>
  <si>
    <t>MOGOGSIEK</t>
  </si>
  <si>
    <t>OLENG</t>
  </si>
  <si>
    <t>6 Switches (LB,PM Office, FUM Office, Stores, Server Room)</t>
  </si>
  <si>
    <t>switches -server room-1 -leafbase cabinet-1 Factory cabinet-1 Routers Server room-2</t>
  </si>
  <si>
    <t>3 Switches (Management Office, Server Room)</t>
  </si>
  <si>
    <t>Server room, accounts office,fsa work shop and stores.</t>
  </si>
  <si>
    <r>
      <t xml:space="preserve">2 Routers, 2 Switches Server Room Working, </t>
    </r>
    <r>
      <rPr>
        <sz val="10"/>
        <color rgb="FF000000"/>
        <rFont val="Century Gothic"/>
        <family val="2"/>
      </rPr>
      <t>Server Cisco Server Room Working</t>
    </r>
  </si>
  <si>
    <t>1 Switch, 2 Routers Server Room - Working</t>
  </si>
  <si>
    <t>FSA OFFICE==OK</t>
  </si>
  <si>
    <t>Server room, Fum office</t>
  </si>
  <si>
    <t xml:space="preserve">Server room, </t>
  </si>
  <si>
    <t>Assorted</t>
  </si>
  <si>
    <t>Windows 2008</t>
  </si>
  <si>
    <t xml:space="preserve">None </t>
  </si>
  <si>
    <t>PCs 2 Gen Office, 2 Sec Office, 2 Mech Office,1 Weighbridge, 3 GL Office– All working</t>
  </si>
  <si>
    <t>Server room</t>
  </si>
  <si>
    <t>Hardware (Servers, PCs, Laptops, UPS, Printers, Scanners, etc.)</t>
  </si>
  <si>
    <t>3 Servers</t>
  </si>
  <si>
    <t>Servers-2</t>
  </si>
  <si>
    <t>Servers : 2 (working)</t>
  </si>
  <si>
    <t>No Server</t>
  </si>
  <si>
    <t>Servers : 3 (working)</t>
  </si>
  <si>
    <t>2 Servers</t>
  </si>
  <si>
    <t>Servers-Okay</t>
  </si>
  <si>
    <t>11 pcs</t>
  </si>
  <si>
    <t>7 Laptops – All working</t>
  </si>
  <si>
    <t>2 Servers Server Room - Working</t>
  </si>
  <si>
    <t>EWS SERVER OK</t>
  </si>
  <si>
    <t>10 Laptops</t>
  </si>
  <si>
    <t>Laptops-8pcs</t>
  </si>
  <si>
    <t>Laptops: 7 (Working)</t>
  </si>
  <si>
    <t>5 Laptops</t>
  </si>
  <si>
    <t>Laptops:11 (Working)</t>
  </si>
  <si>
    <t>Pcs-Okay</t>
  </si>
  <si>
    <t>8 laptops</t>
  </si>
  <si>
    <t>2 Servers Server Room – All working</t>
  </si>
  <si>
    <t>1 UPS Server Room - Working</t>
  </si>
  <si>
    <t>CHAIPRO SERVER OK</t>
  </si>
  <si>
    <t>PC’s and Laptops, Located in Users Designated offices</t>
  </si>
  <si>
    <t>14 Pcs</t>
  </si>
  <si>
    <t>Desktops-11pcs</t>
  </si>
  <si>
    <t>PC’s : 5 (working)</t>
  </si>
  <si>
    <t>12 Pcs</t>
  </si>
  <si>
    <t>PC’s : 6 (working)</t>
  </si>
  <si>
    <t>18 Pcs</t>
  </si>
  <si>
    <t>Printers-Okay</t>
  </si>
  <si>
    <t>2 sever</t>
  </si>
  <si>
    <t>1 Printer Sec Office, 1 Gen Office, 1 Stores - Working</t>
  </si>
  <si>
    <t>7 Laptops - Working</t>
  </si>
  <si>
    <t>DOMINO SERVER OK</t>
  </si>
  <si>
    <t>Scanner in Genral Office</t>
  </si>
  <si>
    <t>7 Assorted Printers</t>
  </si>
  <si>
    <t>Scanner-1pc</t>
  </si>
  <si>
    <t>PRINTER: 2 (working)</t>
  </si>
  <si>
    <t>6 Assorted Printers</t>
  </si>
  <si>
    <t>PRINTER: 4 (working)</t>
  </si>
  <si>
    <t>4Assorted Printers</t>
  </si>
  <si>
    <t>UPS-Okay</t>
  </si>
  <si>
    <t>1 Scanner Gen Office - Working</t>
  </si>
  <si>
    <t>7 PCs - Working</t>
  </si>
  <si>
    <t>PRINTERS OK</t>
  </si>
  <si>
    <t>1 Flatbed Scanner</t>
  </si>
  <si>
    <t>Printers-7pcs &amp; UPS 2.2KVA-5pcs</t>
  </si>
  <si>
    <t>UPS : 4 (working)</t>
  </si>
  <si>
    <t>UPS : 5 (working)</t>
  </si>
  <si>
    <t>2 UPS Server Room - Working</t>
  </si>
  <si>
    <t>3 Printers Working</t>
  </si>
  <si>
    <t>SCANNER OK</t>
  </si>
  <si>
    <t xml:space="preserve">Firewall </t>
  </si>
  <si>
    <t>FGR7OF SN:FR70FTK23000032</t>
  </si>
  <si>
    <t>Server Room - Working</t>
  </si>
  <si>
    <t>FORTIGATE =OK</t>
  </si>
  <si>
    <t xml:space="preserve">2 Working </t>
  </si>
  <si>
    <t>2 Directors Working</t>
  </si>
  <si>
    <t>Director, FUM, FA, FSA</t>
  </si>
  <si>
    <t>EWS (Working)</t>
  </si>
  <si>
    <t>13 Working</t>
  </si>
  <si>
    <t>17 - Working</t>
  </si>
  <si>
    <t>Virtual City</t>
  </si>
  <si>
    <t>With designated LA’s</t>
  </si>
  <si>
    <t>Scale</t>
  </si>
  <si>
    <t>Printer</t>
  </si>
  <si>
    <t>19 &amp; 5PCS  Require replacement</t>
  </si>
  <si>
    <t>Other Equipment(Specify)</t>
  </si>
  <si>
    <t>EWS server require replacement</t>
  </si>
  <si>
    <t>Hybrid PABX</t>
  </si>
  <si>
    <t>CCTV NVR WORKING</t>
  </si>
  <si>
    <t>2 functional switches
 1 Outdoor unit
1 Cisco router</t>
  </si>
  <si>
    <t>3 PoE Switche(s)</t>
  </si>
  <si>
    <t>2 24 PORT CISCO SWITCH FUNCTIONAL
One cisco router OK
Micrototik router OK</t>
  </si>
  <si>
    <t>2 LAN Switches- Requires upgrade</t>
  </si>
  <si>
    <t>2 Switches functional</t>
  </si>
  <si>
    <t>2 Functional</t>
  </si>
  <si>
    <t>3 SMART D-LINK SWITCH</t>
  </si>
  <si>
    <t>2 LAN Switches</t>
  </si>
  <si>
    <t>2 Switches</t>
  </si>
  <si>
    <t>2 functional switches
 1 Outdoor unit
2 Cisco router</t>
  </si>
  <si>
    <t>3 FUNCTIONAL</t>
  </si>
  <si>
    <t>Backoffice 1
Domino Server 1
Windows 2008 1</t>
  </si>
  <si>
    <t>MS Window server 2008
Ms Windows 7
SUSE LINUX</t>
  </si>
  <si>
    <t>Office 2019</t>
  </si>
  <si>
    <t>Ofiice 2007
Windows &amp;7,10
Win Server 2008
Win server 2012</t>
  </si>
  <si>
    <t>Virtual city, SQL, Lotus Domino,Microsoft Windows Server 2008, Linux Suse, all good.</t>
  </si>
  <si>
    <t>Back office, Windows server 2008, SQL 2000, Windows 7,10 &amp; Symantec 12/14</t>
  </si>
  <si>
    <t>1 Cisco Server</t>
  </si>
  <si>
    <t>2 Cisco Server  &amp; Poweredge</t>
  </si>
  <si>
    <t>1 Physical server (3 Virtual)</t>
  </si>
  <si>
    <t>PCs – 8</t>
  </si>
  <si>
    <t>Laptops – 7</t>
  </si>
  <si>
    <t>4 + DFX + Card printer</t>
  </si>
  <si>
    <t>Printers – 2 office &amp; 1 DFX</t>
  </si>
  <si>
    <t>5 Printers</t>
  </si>
  <si>
    <t>1 DFX, 1 Epson L4260, 1 LX-350 and 2 HP402dn in use.</t>
  </si>
  <si>
    <t>3 Printers + 1 DFX + 1 Card printer</t>
  </si>
  <si>
    <t>2 Printers + 1 DFX + 1 Card printer</t>
  </si>
  <si>
    <t>1 Scanner</t>
  </si>
  <si>
    <t>1 scannner</t>
  </si>
  <si>
    <t>Fiscal Printers – 3</t>
  </si>
  <si>
    <t>1 ETR printer</t>
  </si>
  <si>
    <t>1 ETR printers</t>
  </si>
  <si>
    <t>2 Fiscal printers</t>
  </si>
  <si>
    <t>1 OK</t>
  </si>
  <si>
    <t>Tablets – 7</t>
  </si>
  <si>
    <t>10 operational - Ok</t>
  </si>
  <si>
    <t>10, - 8 operational</t>
  </si>
  <si>
    <t>5 – 1 under repair</t>
  </si>
  <si>
    <t>12, - 8 operational</t>
  </si>
  <si>
    <t>1 projector</t>
  </si>
  <si>
    <t>Epson projector ok</t>
  </si>
  <si>
    <t>1 Printronix printer</t>
  </si>
  <si>
    <t>Board room TV</t>
  </si>
  <si>
    <t>1 Photocopier</t>
  </si>
  <si>
    <t>Router – 1</t>
  </si>
  <si>
    <t>1 Projector, 1 LG TV</t>
  </si>
  <si>
    <t>1 Projector</t>
  </si>
  <si>
    <r>
      <t xml:space="preserve">Switches – Four (4), Functional , </t>
    </r>
    <r>
      <rPr>
        <b/>
        <sz val="10"/>
        <rFont val="Century Gothic"/>
        <family val="2"/>
      </rPr>
      <t>1 is POE.</t>
    </r>
  </si>
  <si>
    <r>
      <t xml:space="preserve">Servers – </t>
    </r>
    <r>
      <rPr>
        <b/>
        <sz val="10"/>
        <rFont val="Century Gothic"/>
        <family val="2"/>
      </rPr>
      <t>2 operational</t>
    </r>
    <r>
      <rPr>
        <sz val="10"/>
        <rFont val="Century Gothic"/>
        <family val="2"/>
      </rPr>
      <t>.</t>
    </r>
  </si>
  <si>
    <r>
      <t xml:space="preserve">PCs – 10, </t>
    </r>
    <r>
      <rPr>
        <b/>
        <sz val="10"/>
        <color rgb="FF000000"/>
        <rFont val="Century Gothic"/>
        <family val="2"/>
      </rPr>
      <t>8 operational</t>
    </r>
    <r>
      <rPr>
        <sz val="10"/>
        <color rgb="FF000000"/>
        <rFont val="Century Gothic"/>
        <family val="2"/>
      </rPr>
      <t>.</t>
    </r>
  </si>
  <si>
    <r>
      <t xml:space="preserve">Laptops – 11, 1 faulty, </t>
    </r>
    <r>
      <rPr>
        <b/>
        <sz val="10"/>
        <color rgb="FF000000"/>
        <rFont val="Century Gothic"/>
        <family val="2"/>
      </rPr>
      <t>10 operational.</t>
    </r>
  </si>
  <si>
    <r>
      <t xml:space="preserve">UPS – 10, 3 faulty, </t>
    </r>
    <r>
      <rPr>
        <b/>
        <sz val="10"/>
        <color rgb="FF000000"/>
        <rFont val="Century Gothic"/>
        <family val="2"/>
      </rPr>
      <t>7 operational.</t>
    </r>
  </si>
  <si>
    <r>
      <t xml:space="preserve">1 HP Laserjet </t>
    </r>
    <r>
      <rPr>
        <sz val="10"/>
        <color rgb="FF000000"/>
        <rFont val="Century Gothic"/>
        <family val="2"/>
      </rPr>
      <t xml:space="preserve"> Printers</t>
    </r>
  </si>
  <si>
    <r>
      <t xml:space="preserve">Printers – </t>
    </r>
    <r>
      <rPr>
        <b/>
        <sz val="10"/>
        <color rgb="FF000000"/>
        <rFont val="Century Gothic"/>
        <family val="2"/>
      </rPr>
      <t>5 operational.</t>
    </r>
  </si>
  <si>
    <r>
      <t xml:space="preserve">Scanners – </t>
    </r>
    <r>
      <rPr>
        <b/>
        <sz val="10"/>
        <color rgb="FF000000"/>
        <rFont val="Century Gothic"/>
        <family val="2"/>
      </rPr>
      <t>3 operational.</t>
    </r>
  </si>
  <si>
    <r>
      <t xml:space="preserve">Fiscal Printers –2,1faulty, </t>
    </r>
    <r>
      <rPr>
        <b/>
        <sz val="10"/>
        <color rgb="FF000000"/>
        <rFont val="Century Gothic"/>
        <family val="2"/>
      </rPr>
      <t>1operational</t>
    </r>
  </si>
  <si>
    <t>All are Working</t>
  </si>
  <si>
    <t>3, working</t>
  </si>
  <si>
    <t>3, Working</t>
  </si>
  <si>
    <t>8,Working</t>
  </si>
  <si>
    <t>6, Working</t>
  </si>
  <si>
    <t>10, Working</t>
  </si>
  <si>
    <t>7, Working</t>
  </si>
  <si>
    <t>12, working</t>
  </si>
  <si>
    <t>8, Working</t>
  </si>
  <si>
    <t>9, Working</t>
  </si>
  <si>
    <t>4, Working</t>
  </si>
  <si>
    <t>5,Working</t>
  </si>
  <si>
    <t>2, Working</t>
  </si>
  <si>
    <t>1, Not in use</t>
  </si>
  <si>
    <t>1, In use</t>
  </si>
  <si>
    <t>3,working</t>
  </si>
  <si>
    <t>2, working</t>
  </si>
  <si>
    <t>1, Working</t>
  </si>
  <si>
    <t>16, Working One PDA, Screen issue</t>
  </si>
  <si>
    <t>11, Working</t>
  </si>
  <si>
    <t>16, Working</t>
  </si>
  <si>
    <t>11,Working</t>
  </si>
  <si>
    <t>Not Working</t>
  </si>
  <si>
    <t>Full back up on One remote computer</t>
  </si>
  <si>
    <t>Weighbridge/GL Clerk PC</t>
  </si>
  <si>
    <t>Regional office 11:00 pm</t>
  </si>
  <si>
    <t>Regional office 10:20 pm</t>
  </si>
  <si>
    <t>Regional office 11:00am</t>
  </si>
  <si>
    <t>automatically every night to an external hard disk and region office 12:00 am.</t>
  </si>
  <si>
    <t>Region office 12:05 am</t>
  </si>
  <si>
    <t>Region office 3:00 pm</t>
  </si>
  <si>
    <t>[02/10/2025]</t>
  </si>
  <si>
    <t>[5TH OCT 2025]</t>
  </si>
  <si>
    <r>
      <t>[11</t>
    </r>
    <r>
      <rPr>
        <vertAlign val="superscript"/>
        <sz val="10"/>
        <rFont val="Century Gothic"/>
        <family val="2"/>
      </rPr>
      <t>th</t>
    </r>
    <r>
      <rPr>
        <sz val="10"/>
        <rFont val="Century Gothic"/>
        <family val="2"/>
      </rPr>
      <t xml:space="preserve"> September 2025]</t>
    </r>
  </si>
  <si>
    <t xml:space="preserve">Onsite Backup </t>
  </si>
  <si>
    <t>In Place</t>
  </si>
  <si>
    <t xml:space="preserve"> Ok/tested</t>
  </si>
  <si>
    <t>working</t>
  </si>
  <si>
    <t xml:space="preserve"> local backup 10.11.6.31 </t>
  </si>
  <si>
    <t xml:space="preserve"> local backup 10.11.16.150</t>
  </si>
  <si>
    <t>External HDD</t>
  </si>
  <si>
    <t>No remote backup</t>
  </si>
  <si>
    <t>Remote 10.11.16.150</t>
  </si>
  <si>
    <t>non</t>
  </si>
  <si>
    <t>Remote 10.11.6.31</t>
  </si>
  <si>
    <t>Not Available.</t>
  </si>
  <si>
    <t>25.09.2025</t>
  </si>
  <si>
    <t>Ok/30/09/2025</t>
  </si>
  <si>
    <t>30.09.2025</t>
  </si>
  <si>
    <t xml:space="preserve">None in place </t>
  </si>
  <si>
    <t>0.0.0.1 Sending and Receiving package as expected.</t>
  </si>
  <si>
    <r>
      <t>25</t>
    </r>
    <r>
      <rPr>
        <vertAlign val="superscript"/>
        <sz val="10"/>
        <color theme="1"/>
        <rFont val="Century Gothic"/>
        <family val="2"/>
      </rPr>
      <t xml:space="preserve">th </t>
    </r>
    <r>
      <rPr>
        <sz val="10"/>
        <color theme="1"/>
        <rFont val="Century Gothic"/>
        <family val="2"/>
      </rPr>
      <t>Sep 2025</t>
    </r>
  </si>
  <si>
    <t>2.8.0.0 - fully utilized.</t>
  </si>
  <si>
    <t>Infrastructure and Systems</t>
  </si>
  <si>
    <t>Purchases Total To date 2025/2026</t>
  </si>
  <si>
    <t>Budget Total To date 2025/2026</t>
  </si>
  <si>
    <t>ALL REGIONS</t>
  </si>
  <si>
    <t>Client</t>
  </si>
  <si>
    <t>Ref. #</t>
  </si>
  <si>
    <t xml:space="preserve">Subject </t>
  </si>
  <si>
    <t>Date</t>
  </si>
  <si>
    <t>Appears on Field Report</t>
  </si>
  <si>
    <t>Appears on 
Lansupport 
Report</t>
  </si>
  <si>
    <t>Remarks</t>
  </si>
  <si>
    <t>Assigned</t>
  </si>
  <si>
    <t>Ikumbi Tea Factory Co. Ltd</t>
  </si>
  <si>
    <t>Faulty laptop L540</t>
  </si>
  <si>
    <t>Yes</t>
  </si>
  <si>
    <t>Faulty laptop awaiting to sent back to factory</t>
  </si>
  <si>
    <t>Winfred Kabuuri</t>
  </si>
  <si>
    <t>Faulty Directors tablet</t>
  </si>
  <si>
    <t>yes</t>
  </si>
  <si>
    <t>technical report attached</t>
  </si>
  <si>
    <t>Anthony Wanjau</t>
  </si>
  <si>
    <t>Theta Tea Factory Co. Ltd</t>
  </si>
  <si>
    <t>HP PRO DESK COMPUTER FAILURE</t>
  </si>
  <si>
    <t>Vendor picked up the machine.</t>
  </si>
  <si>
    <t>Denis Nganga</t>
  </si>
  <si>
    <t>region 1 ndakaini</t>
  </si>
  <si>
    <t>Monitor display faulty</t>
  </si>
  <si>
    <t>Peter Kibe</t>
  </si>
  <si>
    <t>Kagwe Tea Factory Co. Ltd</t>
  </si>
  <si>
    <t xml:space="preserve">SAP GL Variance </t>
  </si>
  <si>
    <t>The issue is now resolved. Need to be closed</t>
  </si>
  <si>
    <t>Avelline Ondari</t>
  </si>
  <si>
    <t>Lenovo E590 laptop not booting</t>
  </si>
  <si>
    <t>Ndarugu Tea Factory Co. Ltd</t>
  </si>
  <si>
    <t>Insured damaged tablet sreen</t>
  </si>
  <si>
    <t>Waiting a response from the factory whether the issue was resolved</t>
  </si>
  <si>
    <t>Sheila Maina</t>
  </si>
  <si>
    <t>Nduti Tea Factory Co. Ltd</t>
  </si>
  <si>
    <t>FAULTY LAPTOP BATTERY S/N PF-4HRDEN </t>
  </si>
  <si>
    <t>awaiting laptop to be sent to HQ</t>
  </si>
  <si>
    <t>FAULTY LAPTOP S/N PF-2Z6BWD</t>
  </si>
  <si>
    <t>Laptop received at HO and forwarded to ICT hardware for further diagnosis</t>
  </si>
  <si>
    <t>John Maroko</t>
  </si>
  <si>
    <t>Njunu Tea Factory Co. Ltd</t>
  </si>
  <si>
    <t>Loss of HP Probook UMA G7 Laptop</t>
  </si>
  <si>
    <t>Awaiting proforma invoice of a similar model</t>
  </si>
  <si>
    <t>Total - 5- Lansupport</t>
  </si>
  <si>
    <t xml:space="preserve">Total -8 - </t>
  </si>
  <si>
    <t>Gatunguru Tea Factory Co. Ltd</t>
  </si>
  <si>
    <t>mail server faulty</t>
  </si>
  <si>
    <t>Awaiting confirmation from RICTM</t>
  </si>
  <si>
    <t>Erick Kinyeki</t>
  </si>
  <si>
    <t>Githambo Tea Factory Co. Ltd</t>
  </si>
  <si>
    <t>DAMAGE OF FUM LAPTOP BY RAIN WATER</t>
  </si>
  <si>
    <t>The claim remains unattended to.</t>
  </si>
  <si>
    <t>WAn Connectivity Down</t>
  </si>
  <si>
    <t>Affected services: - SAP - Emails - Internet - data replication/uploads</t>
  </si>
  <si>
    <t>NEW LAPTOP- OVERHEATING</t>
  </si>
  <si>
    <t>laptop is yet to be dispatched to HQ</t>
  </si>
  <si>
    <t xml:space="preserve">KTDA Leaf Buying application  </t>
  </si>
  <si>
    <t>Awaiting confirmation from Simon</t>
  </si>
  <si>
    <t>Simon Kiragu</t>
  </si>
  <si>
    <t>Kanyenyaini Tea Factory Co. Ltd</t>
  </si>
  <si>
    <t>LAN UPGRADE</t>
  </si>
  <si>
    <t xml:space="preserve"> Faulty Epson DFX 9000</t>
  </si>
  <si>
    <t>Awaiting FSA to Advise on the location of the printer.</t>
  </si>
  <si>
    <t>LAN Connectivity Factory/Admin Block</t>
  </si>
  <si>
    <t xml:space="preserve">challenges with connectivity from the factory Bldg to Administration block due to severed network cables </t>
  </si>
  <si>
    <t xml:space="preserve">Internet Access </t>
  </si>
  <si>
    <t>awaiting confrimation from the FSA on the fiber replacement.</t>
  </si>
  <si>
    <t>Gathuthi Tea Factory Co. Ltd</t>
  </si>
  <si>
    <t>Loss of tablet-director David W. Gitonga</t>
  </si>
  <si>
    <t>Florence to advice on the status of the tablet.</t>
  </si>
  <si>
    <t>Florence Barasa</t>
  </si>
  <si>
    <t>faulty Samsung tablet s/n R52MB0M7QZB</t>
  </si>
  <si>
    <t>Winnie to advice on the status of the tablet</t>
  </si>
  <si>
    <t>FAULTY LENOVO THINKPAD E15</t>
  </si>
  <si>
    <t xml:space="preserve">Total - 0 - </t>
  </si>
  <si>
    <t>Region office</t>
  </si>
  <si>
    <t>Screen damaged Lenovo tablet</t>
  </si>
  <si>
    <t>YES</t>
  </si>
  <si>
    <t>Documents yet to be received in the factory</t>
  </si>
  <si>
    <t>Jackson Gachuki</t>
  </si>
  <si>
    <t>MICHIMIKURU VPN LINES</t>
  </si>
  <si>
    <t>Waiting fot vendor to fix the machine</t>
  </si>
  <si>
    <t>Email addition to PA Group</t>
  </si>
  <si>
    <t>Laptop waiting keyboard replacement</t>
  </si>
  <si>
    <t>Total - 4- Lansupport</t>
  </si>
  <si>
    <t xml:space="preserve">Total - 3 - </t>
  </si>
  <si>
    <t>Awaiting confirmation from the RICTM whether the claim was settled</t>
  </si>
  <si>
    <t>Awaiting confirmation from the RICTM whether the lines are working</t>
  </si>
  <si>
    <t>The action is with the FSA to create PA group at Kionyo</t>
  </si>
  <si>
    <t>Total - 0- Lansupport</t>
  </si>
  <si>
    <t>Total - 4</t>
  </si>
  <si>
    <t>Enock Ogara</t>
  </si>
  <si>
    <t>Kapset Tea Factory Co. Ltd</t>
  </si>
  <si>
    <t>Damaged Tablet Screen</t>
  </si>
  <si>
    <t>Insurance</t>
  </si>
  <si>
    <t xml:space="preserve"> DIRECTOR TABLET </t>
  </si>
  <si>
    <t>Motigo Tea Factory</t>
  </si>
  <si>
    <t>Sim Card</t>
  </si>
  <si>
    <t>23/05/2025</t>
  </si>
  <si>
    <t>Winnie Kabuuri</t>
  </si>
  <si>
    <t>Faulty tablet</t>
  </si>
  <si>
    <t>Litein Tea Factory</t>
  </si>
  <si>
    <t>Lost Tablet</t>
  </si>
  <si>
    <t>NO</t>
  </si>
  <si>
    <t>FARGO faulty card printer</t>
  </si>
  <si>
    <t>not assigned</t>
  </si>
  <si>
    <t>Region 5 - Litein</t>
  </si>
  <si>
    <t>Laptop not powering</t>
  </si>
  <si>
    <t>Total - 8 - Lansupport</t>
  </si>
  <si>
    <t>Total - 13  -</t>
  </si>
  <si>
    <t>Tablet Screen broken</t>
  </si>
  <si>
    <t>Insurance claim at Majani</t>
  </si>
  <si>
    <t>Awaiting FSA respose whether the tablet can be taken to insurer and send relevant documents for insurance</t>
  </si>
  <si>
    <t>Faulty Laptop</t>
  </si>
  <si>
    <t>Awaiting documents for Insurance claim</t>
  </si>
  <si>
    <t>Faulty tablets</t>
  </si>
  <si>
    <t>Epson DFX 9000 Printer</t>
  </si>
  <si>
    <t>Printer dispatched on 4th August 2025</t>
  </si>
  <si>
    <t xml:space="preserve">Request for a VPN Line </t>
  </si>
  <si>
    <t>The line is on 3G - vpn.ktdateas.com &amp; 4G - Safaricom APN Factory to test and confirm</t>
  </si>
  <si>
    <t>Rianyamwamu</t>
  </si>
  <si>
    <t>SAMSUNG TAB S9 DAMAGED</t>
  </si>
  <si>
    <t>Total - 2 - Lansupport</t>
  </si>
  <si>
    <t>Total - 3-</t>
  </si>
  <si>
    <t>Chebut Tea Factory Co. Ltd</t>
  </si>
  <si>
    <t>Laptop Lenovo-Not Powering</t>
  </si>
  <si>
    <t>procurement of motherboard ongoing</t>
  </si>
  <si>
    <t>Eric Ngetich</t>
  </si>
  <si>
    <t>Mudete Tea Factory Co. Ltd</t>
  </si>
  <si>
    <t>VPN line not working</t>
  </si>
  <si>
    <t>line not connecting to vpn.mudete.com</t>
  </si>
  <si>
    <t>Tablet(broken Screen)</t>
  </si>
  <si>
    <t>Awaiting the FSA to advise if the tablet should be taken to insurance or have  screen replaced</t>
  </si>
  <si>
    <t>Kapsara Tea Factory Co. Ltd</t>
  </si>
  <si>
    <t>faulty directors tablet</t>
  </si>
  <si>
    <t>awaiting the tablet to be sent to the factory</t>
  </si>
  <si>
    <t>Total - 1 - Lansupport</t>
  </si>
  <si>
    <t>Total - 4  -</t>
  </si>
  <si>
    <t>LANSUPPORT/ITSM PENDING ISSUES  AS AT 
END OF SEPT 2025</t>
  </si>
  <si>
    <t>FIELD REPORT PENDING ISSUES FIELD AS AT 
END OF SEPT 2025</t>
  </si>
  <si>
    <t>Regions</t>
  </si>
  <si>
    <t>DFX Printer have Developed Printing</t>
  </si>
  <si>
    <t xml:space="preserve"> working to see the printer repaired</t>
  </si>
  <si>
    <t>Benjamin Ndungu</t>
  </si>
  <si>
    <t>Total - 13- Lansupport</t>
  </si>
  <si>
    <t>Tegat Tea Factory Co. Ltd.</t>
  </si>
  <si>
    <t>Faulty Firewall</t>
  </si>
  <si>
    <t>Escalated</t>
  </si>
  <si>
    <t>kobel</t>
  </si>
  <si>
    <t xml:space="preserve">Faulty Laptop </t>
  </si>
  <si>
    <t>Rorok</t>
  </si>
  <si>
    <t>Epson Printer</t>
  </si>
  <si>
    <t>Chelal Tea Factory Co. Ltd</t>
  </si>
  <si>
    <t>Faulty Laptop (Sn. 5CD2130Y31)</t>
  </si>
  <si>
    <t>20/8/2025</t>
  </si>
  <si>
    <t>Dennis</t>
  </si>
  <si>
    <t>Beatrice</t>
  </si>
  <si>
    <t>Ndungu</t>
  </si>
  <si>
    <t>Edwin Mwosa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</si>
</sst>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_-* #,##0.00_-;\-* #,##0.00_-;_-* &quot;-&quot;??_-;_-@_-"/>
    <numFmt numFmtId="165" formatCode="_-* #,##0_-;\-* #,##0_-;_-* &quot;-&quot;??_-;_-@_-"/>
    <numFmt numFmtId="166" formatCode="0.0%"/>
    <numFmt numFmtId="167" formatCode="[$-409]mmmm\-yy;@"/>
    <numFmt numFmtId="168" formatCode="[$-409]d\-mmm\-yy;@"/>
    <numFmt numFmtId="169" formatCode="dd/mm/yyyy;@"/>
    <numFmt numFmtId="170" formatCode="[$-409]d\-mmm\-yyyy;@"/>
    <numFmt numFmtId="171" formatCode="m/d/yy;@"/>
  </numFmts>
  <fonts count="34" x14ac:knownFonts="1">
    <font>
      <sz val="10"/>
      <name val="Arial"/>
    </font>
    <font>
      <sz val="10"/>
      <name val="Arial"/>
      <family val="2"/>
    </font>
    <font>
      <sz val="12"/>
      <name val="Times New Roman"/>
      <family val="1"/>
    </font>
    <font>
      <sz val="8"/>
      <name val="Arial"/>
      <family val="2"/>
    </font>
    <font>
      <b/>
      <sz val="10"/>
      <name val="Book Antiqua"/>
      <family val="1"/>
    </font>
    <font>
      <b/>
      <u/>
      <sz val="11"/>
      <name val="Book Antiqua"/>
      <family val="1"/>
    </font>
    <font>
      <b/>
      <sz val="10"/>
      <name val="Arial"/>
      <family val="2"/>
    </font>
    <font>
      <sz val="10"/>
      <name val="Arial"/>
      <family val="2"/>
    </font>
    <font>
      <b/>
      <i/>
      <sz val="10"/>
      <name val="Arial"/>
      <family val="2"/>
    </font>
    <font>
      <b/>
      <sz val="11"/>
      <name val="Arial"/>
      <family val="2"/>
    </font>
    <font>
      <sz val="10"/>
      <name val="Book Antiqua"/>
      <family val="1"/>
    </font>
    <font>
      <b/>
      <u/>
      <sz val="10"/>
      <name val="Book Antiqua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Century Gothic"/>
      <family val="2"/>
    </font>
    <font>
      <b/>
      <sz val="10"/>
      <name val="Century Gothic"/>
      <family val="2"/>
    </font>
    <font>
      <sz val="9"/>
      <name val="Century Gothic"/>
      <family val="2"/>
    </font>
    <font>
      <b/>
      <sz val="9"/>
      <name val="Century Gothic"/>
      <family val="2"/>
    </font>
    <font>
      <b/>
      <sz val="10"/>
      <color theme="1"/>
      <name val="Century Gothic"/>
      <family val="2"/>
    </font>
    <font>
      <b/>
      <sz val="10"/>
      <color rgb="FF000000"/>
      <name val="Century Gothic"/>
      <family val="2"/>
    </font>
    <font>
      <sz val="10"/>
      <color rgb="FF000000"/>
      <name val="Century Gothic"/>
      <family val="2"/>
    </font>
    <font>
      <sz val="10"/>
      <color theme="1"/>
      <name val="Century Gothic"/>
      <family val="2"/>
    </font>
    <font>
      <b/>
      <i/>
      <sz val="12"/>
      <name val="Century Gothic"/>
      <family val="2"/>
    </font>
    <font>
      <vertAlign val="superscript"/>
      <sz val="10"/>
      <color theme="1"/>
      <name val="Century Gothic"/>
      <family val="2"/>
    </font>
    <font>
      <vertAlign val="superscript"/>
      <sz val="10"/>
      <name val="Century Gothic"/>
      <family val="2"/>
    </font>
    <font>
      <sz val="10"/>
      <color rgb="FF525F7F"/>
      <name val="Century Gothic"/>
      <family val="2"/>
    </font>
    <font>
      <sz val="16"/>
      <name val="Arial"/>
      <family val="2"/>
    </font>
    <font>
      <b/>
      <sz val="16"/>
      <name val="Arial"/>
      <family val="2"/>
    </font>
    <font>
      <sz val="9"/>
      <name val="Arial"/>
      <family val="2"/>
    </font>
    <font>
      <b/>
      <sz val="14"/>
      <name val="Arial"/>
      <family val="2"/>
    </font>
    <font>
      <b/>
      <sz val="11"/>
      <name val="Calibri"/>
      <family val="2"/>
      <scheme val="minor"/>
    </font>
    <font>
      <b/>
      <sz val="9"/>
      <name val="Arial"/>
      <family val="2"/>
    </font>
    <font>
      <sz val="11"/>
      <name val="Calibri"/>
      <family val="2"/>
      <scheme val="minor"/>
    </font>
    <font>
      <sz val="11"/>
      <color theme="1"/>
      <name val="Segoe UI Semilight"/>
      <family val="2"/>
    </font>
  </fonts>
  <fills count="2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2F2F2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130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8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8"/>
      </bottom>
      <diagonal/>
    </border>
    <border>
      <left style="medium">
        <color indexed="8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8"/>
      </left>
      <right style="medium">
        <color indexed="8"/>
      </right>
      <top style="medium">
        <color indexed="64"/>
      </top>
      <bottom/>
      <diagonal/>
    </border>
    <border>
      <left style="medium">
        <color indexed="8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indexed="8"/>
      </left>
      <right/>
      <top style="medium">
        <color indexed="64"/>
      </top>
      <bottom style="medium">
        <color indexed="64"/>
      </bottom>
      <diagonal/>
    </border>
    <border>
      <left style="medium">
        <color indexed="8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/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rgb="FF3F3F3F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3F3F3F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rgb="FF3F3F3F"/>
      </top>
      <bottom style="thin">
        <color rgb="FF3F3F3F"/>
      </bottom>
      <diagonal/>
    </border>
    <border>
      <left style="medium">
        <color indexed="64"/>
      </left>
      <right style="medium">
        <color indexed="64"/>
      </right>
      <top style="thin">
        <color rgb="FF3F3F3F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26">
    <xf numFmtId="0" fontId="0" fillId="0" borderId="0" xfId="0"/>
    <xf numFmtId="0" fontId="6" fillId="0" borderId="4" xfId="0" applyFont="1" applyBorder="1"/>
    <xf numFmtId="0" fontId="0" fillId="0" borderId="4" xfId="0" applyBorder="1"/>
    <xf numFmtId="0" fontId="7" fillId="0" borderId="4" xfId="0" applyFont="1" applyBorder="1"/>
    <xf numFmtId="9" fontId="6" fillId="0" borderId="4" xfId="0" applyNumberFormat="1" applyFont="1" applyBorder="1"/>
    <xf numFmtId="0" fontId="8" fillId="0" borderId="4" xfId="0" applyFont="1" applyBorder="1"/>
    <xf numFmtId="0" fontId="8" fillId="0" borderId="4" xfId="0" applyFont="1" applyBorder="1" applyAlignment="1">
      <alignment wrapText="1"/>
    </xf>
    <xf numFmtId="0" fontId="7" fillId="0" borderId="0" xfId="0" applyFont="1"/>
    <xf numFmtId="0" fontId="6" fillId="0" borderId="0" xfId="0" applyFont="1"/>
    <xf numFmtId="9" fontId="6" fillId="0" borderId="0" xfId="0" applyNumberFormat="1" applyFont="1"/>
    <xf numFmtId="0" fontId="9" fillId="0" borderId="0" xfId="0" applyFont="1"/>
    <xf numFmtId="0" fontId="7" fillId="0" borderId="4" xfId="0" applyFont="1" applyBorder="1" applyAlignment="1">
      <alignment wrapText="1"/>
    </xf>
    <xf numFmtId="0" fontId="0" fillId="0" borderId="4" xfId="0" applyBorder="1" applyAlignment="1">
      <alignment wrapText="1"/>
    </xf>
    <xf numFmtId="9" fontId="1" fillId="0" borderId="4" xfId="2" applyBorder="1"/>
    <xf numFmtId="9" fontId="1" fillId="0" borderId="0" xfId="2" applyBorder="1"/>
    <xf numFmtId="0" fontId="1" fillId="0" borderId="4" xfId="2" applyNumberFormat="1" applyBorder="1"/>
    <xf numFmtId="0" fontId="7" fillId="2" borderId="4" xfId="0" applyFont="1" applyFill="1" applyBorder="1"/>
    <xf numFmtId="0" fontId="0" fillId="2" borderId="4" xfId="0" applyFill="1" applyBorder="1"/>
    <xf numFmtId="9" fontId="0" fillId="2" borderId="4" xfId="2" applyFont="1" applyFill="1" applyBorder="1"/>
    <xf numFmtId="0" fontId="11" fillId="0" borderId="0" xfId="0" applyFont="1" applyAlignment="1">
      <alignment horizontal="left" indent="1"/>
    </xf>
    <xf numFmtId="0" fontId="0" fillId="2" borderId="0" xfId="0" applyFill="1"/>
    <xf numFmtId="0" fontId="6" fillId="2" borderId="0" xfId="0" applyFont="1" applyFill="1"/>
    <xf numFmtId="0" fontId="9" fillId="2" borderId="0" xfId="0" applyFont="1" applyFill="1"/>
    <xf numFmtId="0" fontId="8" fillId="2" borderId="4" xfId="0" applyFont="1" applyFill="1" applyBorder="1"/>
    <xf numFmtId="0" fontId="8" fillId="2" borderId="4" xfId="0" applyFont="1" applyFill="1" applyBorder="1" applyAlignment="1">
      <alignment wrapText="1"/>
    </xf>
    <xf numFmtId="0" fontId="0" fillId="2" borderId="4" xfId="0" applyFill="1" applyBorder="1" applyAlignment="1">
      <alignment wrapText="1"/>
    </xf>
    <xf numFmtId="0" fontId="6" fillId="2" borderId="4" xfId="0" applyFont="1" applyFill="1" applyBorder="1"/>
    <xf numFmtId="9" fontId="6" fillId="2" borderId="4" xfId="0" applyNumberFormat="1" applyFont="1" applyFill="1" applyBorder="1"/>
    <xf numFmtId="9" fontId="6" fillId="2" borderId="0" xfId="0" applyNumberFormat="1" applyFont="1" applyFill="1"/>
    <xf numFmtId="0" fontId="7" fillId="2" borderId="0" xfId="0" applyFont="1" applyFill="1"/>
    <xf numFmtId="9" fontId="0" fillId="2" borderId="0" xfId="2" applyFont="1" applyFill="1" applyBorder="1"/>
    <xf numFmtId="0" fontId="8" fillId="2" borderId="10" xfId="0" applyFont="1" applyFill="1" applyBorder="1" applyAlignment="1">
      <alignment wrapText="1"/>
    </xf>
    <xf numFmtId="0" fontId="8" fillId="2" borderId="10" xfId="0" applyFont="1" applyFill="1" applyBorder="1"/>
    <xf numFmtId="0" fontId="0" fillId="2" borderId="11" xfId="0" applyFill="1" applyBorder="1"/>
    <xf numFmtId="0" fontId="5" fillId="2" borderId="0" xfId="0" applyFont="1" applyFill="1"/>
    <xf numFmtId="0" fontId="10" fillId="2" borderId="0" xfId="0" applyFont="1" applyFill="1" applyAlignment="1">
      <alignment horizontal="left" indent="1"/>
    </xf>
    <xf numFmtId="2" fontId="0" fillId="2" borderId="4" xfId="0" applyNumberFormat="1" applyFill="1" applyBorder="1"/>
    <xf numFmtId="10" fontId="6" fillId="0" borderId="4" xfId="0" applyNumberFormat="1" applyFont="1" applyBorder="1"/>
    <xf numFmtId="165" fontId="7" fillId="0" borderId="4" xfId="0" applyNumberFormat="1" applyFont="1" applyBorder="1"/>
    <xf numFmtId="168" fontId="7" fillId="5" borderId="0" xfId="1" applyNumberFormat="1" applyFont="1" applyFill="1"/>
    <xf numFmtId="165" fontId="7" fillId="2" borderId="4" xfId="1" applyNumberFormat="1" applyFont="1" applyFill="1" applyBorder="1"/>
    <xf numFmtId="9" fontId="7" fillId="2" borderId="18" xfId="2" applyFont="1" applyFill="1" applyBorder="1"/>
    <xf numFmtId="0" fontId="7" fillId="2" borderId="4" xfId="0" applyFont="1" applyFill="1" applyBorder="1" applyAlignment="1">
      <alignment wrapText="1"/>
    </xf>
    <xf numFmtId="0" fontId="7" fillId="0" borderId="4" xfId="2" applyNumberFormat="1" applyFont="1" applyBorder="1"/>
    <xf numFmtId="164" fontId="7" fillId="0" borderId="4" xfId="1" applyFont="1" applyBorder="1"/>
    <xf numFmtId="4" fontId="1" fillId="0" borderId="4" xfId="2" applyNumberFormat="1" applyBorder="1"/>
    <xf numFmtId="165" fontId="6" fillId="0" borderId="4" xfId="0" applyNumberFormat="1" applyFont="1" applyBorder="1"/>
    <xf numFmtId="0" fontId="14" fillId="2" borderId="0" xfId="0" applyFont="1" applyFill="1"/>
    <xf numFmtId="0" fontId="14" fillId="0" borderId="0" xfId="0" applyFont="1"/>
    <xf numFmtId="168" fontId="15" fillId="5" borderId="0" xfId="1" applyNumberFormat="1" applyFont="1" applyFill="1"/>
    <xf numFmtId="0" fontId="14" fillId="6" borderId="0" xfId="0" applyFont="1" applyFill="1"/>
    <xf numFmtId="0" fontId="15" fillId="4" borderId="12" xfId="0" applyFont="1" applyFill="1" applyBorder="1" applyAlignment="1">
      <alignment vertical="top" wrapText="1"/>
    </xf>
    <xf numFmtId="0" fontId="14" fillId="0" borderId="22" xfId="0" applyFont="1" applyBorder="1"/>
    <xf numFmtId="0" fontId="14" fillId="0" borderId="0" xfId="0" applyFont="1" applyBorder="1"/>
    <xf numFmtId="0" fontId="14" fillId="0" borderId="20" xfId="0" applyFont="1" applyBorder="1"/>
    <xf numFmtId="0" fontId="14" fillId="0" borderId="23" xfId="0" applyFont="1" applyBorder="1"/>
    <xf numFmtId="0" fontId="14" fillId="0" borderId="46" xfId="0" applyFont="1" applyBorder="1"/>
    <xf numFmtId="168" fontId="14" fillId="5" borderId="0" xfId="1" applyNumberFormat="1" applyFont="1" applyFill="1"/>
    <xf numFmtId="0" fontId="15" fillId="2" borderId="9" xfId="0" applyFont="1" applyFill="1" applyBorder="1" applyAlignment="1">
      <alignment vertical="top" wrapText="1"/>
    </xf>
    <xf numFmtId="4" fontId="15" fillId="4" borderId="37" xfId="0" applyNumberFormat="1" applyFont="1" applyFill="1" applyBorder="1" applyAlignment="1">
      <alignment horizontal="left"/>
    </xf>
    <xf numFmtId="4" fontId="15" fillId="4" borderId="38" xfId="0" applyNumberFormat="1" applyFont="1" applyFill="1" applyBorder="1" applyAlignment="1">
      <alignment horizontal="left"/>
    </xf>
    <xf numFmtId="4" fontId="15" fillId="4" borderId="44" xfId="0" applyNumberFormat="1" applyFont="1" applyFill="1" applyBorder="1" applyAlignment="1">
      <alignment horizontal="left"/>
    </xf>
    <xf numFmtId="4" fontId="15" fillId="4" borderId="14" xfId="0" applyNumberFormat="1" applyFont="1" applyFill="1" applyBorder="1" applyAlignment="1">
      <alignment horizontal="left"/>
    </xf>
    <xf numFmtId="4" fontId="15" fillId="4" borderId="24" xfId="0" applyNumberFormat="1" applyFont="1" applyFill="1" applyBorder="1" applyAlignment="1">
      <alignment horizontal="left"/>
    </xf>
    <xf numFmtId="165" fontId="15" fillId="12" borderId="4" xfId="1" applyNumberFormat="1" applyFont="1" applyFill="1" applyBorder="1" applyAlignment="1">
      <alignment vertical="top" wrapText="1"/>
    </xf>
    <xf numFmtId="167" fontId="14" fillId="5" borderId="0" xfId="1" applyNumberFormat="1" applyFont="1" applyFill="1" applyAlignment="1">
      <alignment horizontal="right"/>
    </xf>
    <xf numFmtId="165" fontId="14" fillId="5" borderId="0" xfId="1" applyNumberFormat="1" applyFont="1" applyFill="1"/>
    <xf numFmtId="165" fontId="15" fillId="5" borderId="0" xfId="1" applyNumberFormat="1" applyFont="1" applyFill="1"/>
    <xf numFmtId="165" fontId="14" fillId="5" borderId="0" xfId="1" applyNumberFormat="1" applyFont="1" applyFill="1" applyBorder="1"/>
    <xf numFmtId="0" fontId="18" fillId="4" borderId="8" xfId="0" applyFont="1" applyFill="1" applyBorder="1" applyAlignment="1">
      <alignment horizontal="left" vertical="center" wrapText="1"/>
    </xf>
    <xf numFmtId="165" fontId="15" fillId="2" borderId="0" xfId="1" applyNumberFormat="1" applyFont="1" applyFill="1" applyBorder="1" applyAlignment="1">
      <alignment horizontal="right"/>
    </xf>
    <xf numFmtId="0" fontId="14" fillId="7" borderId="2" xfId="0" applyFont="1" applyFill="1" applyBorder="1" applyAlignment="1">
      <alignment vertical="center" wrapText="1"/>
    </xf>
    <xf numFmtId="165" fontId="14" fillId="5" borderId="0" xfId="1" applyNumberFormat="1" applyFont="1" applyFill="1" applyBorder="1" applyAlignment="1">
      <alignment horizontal="right"/>
    </xf>
    <xf numFmtId="165" fontId="14" fillId="2" borderId="0" xfId="1" applyNumberFormat="1" applyFont="1" applyFill="1" applyBorder="1" applyAlignment="1">
      <alignment horizontal="right"/>
    </xf>
    <xf numFmtId="0" fontId="15" fillId="0" borderId="41" xfId="0" applyFont="1" applyBorder="1" applyAlignment="1">
      <alignment vertical="center" wrapText="1"/>
    </xf>
    <xf numFmtId="165" fontId="15" fillId="5" borderId="0" xfId="1" applyNumberFormat="1" applyFont="1" applyFill="1" applyBorder="1" applyAlignment="1">
      <alignment horizontal="right"/>
    </xf>
    <xf numFmtId="0" fontId="15" fillId="7" borderId="2" xfId="0" applyFont="1" applyFill="1" applyBorder="1" applyAlignment="1">
      <alignment vertical="center" wrapText="1"/>
    </xf>
    <xf numFmtId="0" fontId="15" fillId="0" borderId="0" xfId="0" applyFont="1" applyAlignment="1">
      <alignment horizontal="left" vertical="center" wrapText="1"/>
    </xf>
    <xf numFmtId="3" fontId="15" fillId="0" borderId="0" xfId="0" applyNumberFormat="1" applyFont="1" applyAlignment="1">
      <alignment vertical="center"/>
    </xf>
    <xf numFmtId="3" fontId="14" fillId="0" borderId="0" xfId="0" applyNumberFormat="1" applyFont="1" applyAlignment="1">
      <alignment vertical="center"/>
    </xf>
    <xf numFmtId="4" fontId="14" fillId="0" borderId="0" xfId="0" applyNumberFormat="1" applyFont="1" applyAlignment="1">
      <alignment vertical="center"/>
    </xf>
    <xf numFmtId="0" fontId="15" fillId="0" borderId="0" xfId="0" applyFont="1" applyAlignment="1">
      <alignment vertical="center" wrapText="1"/>
    </xf>
    <xf numFmtId="4" fontId="15" fillId="0" borderId="0" xfId="0" applyNumberFormat="1" applyFont="1" applyAlignment="1">
      <alignment horizontal="right" vertical="center" wrapText="1"/>
    </xf>
    <xf numFmtId="165" fontId="15" fillId="0" borderId="0" xfId="1" applyNumberFormat="1" applyFont="1" applyFill="1" applyAlignment="1">
      <alignment horizontal="right"/>
    </xf>
    <xf numFmtId="165" fontId="15" fillId="0" borderId="0" xfId="1" applyNumberFormat="1" applyFont="1" applyFill="1"/>
    <xf numFmtId="4" fontId="15" fillId="0" borderId="0" xfId="0" applyNumberFormat="1" applyFont="1"/>
    <xf numFmtId="165" fontId="15" fillId="0" borderId="0" xfId="1" applyNumberFormat="1" applyFont="1" applyFill="1" applyBorder="1"/>
    <xf numFmtId="0" fontId="14" fillId="10" borderId="19" xfId="0" applyFont="1" applyFill="1" applyBorder="1" applyAlignment="1">
      <alignment vertical="center" wrapText="1"/>
    </xf>
    <xf numFmtId="4" fontId="15" fillId="10" borderId="40" xfId="0" applyNumberFormat="1" applyFont="1" applyFill="1" applyBorder="1"/>
    <xf numFmtId="0" fontId="14" fillId="0" borderId="0" xfId="0" applyFont="1" applyAlignment="1">
      <alignment horizontal="right" vertical="center" wrapText="1"/>
    </xf>
    <xf numFmtId="165" fontId="14" fillId="0" borderId="0" xfId="1" applyNumberFormat="1" applyFont="1" applyFill="1" applyBorder="1" applyAlignment="1">
      <alignment vertical="top" wrapText="1"/>
    </xf>
    <xf numFmtId="165" fontId="14" fillId="0" borderId="0" xfId="1" applyNumberFormat="1" applyFont="1" applyFill="1" applyBorder="1"/>
    <xf numFmtId="165" fontId="15" fillId="0" borderId="0" xfId="1" applyNumberFormat="1" applyFont="1" applyFill="1" applyBorder="1" applyAlignment="1">
      <alignment vertical="top" wrapText="1"/>
    </xf>
    <xf numFmtId="0" fontId="15" fillId="10" borderId="19" xfId="0" applyFont="1" applyFill="1" applyBorder="1" applyAlignment="1">
      <alignment vertical="center" wrapText="1"/>
    </xf>
    <xf numFmtId="165" fontId="15" fillId="0" borderId="0" xfId="1" applyNumberFormat="1" applyFont="1" applyFill="1" applyBorder="1" applyAlignment="1">
      <alignment horizontal="right"/>
    </xf>
    <xf numFmtId="0" fontId="15" fillId="10" borderId="0" xfId="0" applyFont="1" applyFill="1" applyBorder="1" applyAlignment="1">
      <alignment vertical="center" wrapText="1"/>
    </xf>
    <xf numFmtId="164" fontId="15" fillId="10" borderId="0" xfId="1" applyFont="1" applyFill="1" applyBorder="1"/>
    <xf numFmtId="4" fontId="15" fillId="10" borderId="0" xfId="0" applyNumberFormat="1" applyFont="1" applyFill="1" applyBorder="1"/>
    <xf numFmtId="164" fontId="15" fillId="0" borderId="0" xfId="1" applyFont="1" applyFill="1"/>
    <xf numFmtId="0" fontId="14" fillId="5" borderId="19" xfId="0" applyFont="1" applyFill="1" applyBorder="1" applyAlignment="1">
      <alignment vertical="center" wrapText="1"/>
    </xf>
    <xf numFmtId="0" fontId="15" fillId="5" borderId="19" xfId="0" applyFont="1" applyFill="1" applyBorder="1" applyAlignment="1">
      <alignment vertical="center" wrapText="1"/>
    </xf>
    <xf numFmtId="165" fontId="14" fillId="0" borderId="0" xfId="1" applyNumberFormat="1" applyFont="1" applyFill="1"/>
    <xf numFmtId="4" fontId="15" fillId="5" borderId="35" xfId="0" applyNumberFormat="1" applyFont="1" applyFill="1" applyBorder="1"/>
    <xf numFmtId="4" fontId="15" fillId="0" borderId="0" xfId="0" applyNumberFormat="1" applyFont="1" applyAlignment="1">
      <alignment vertical="center"/>
    </xf>
    <xf numFmtId="4" fontId="15" fillId="7" borderId="0" xfId="0" applyNumberFormat="1" applyFont="1" applyFill="1" applyAlignment="1">
      <alignment horizontal="right" vertical="center" wrapText="1"/>
    </xf>
    <xf numFmtId="0" fontId="18" fillId="4" borderId="7" xfId="0" applyFont="1" applyFill="1" applyBorder="1" applyAlignment="1">
      <alignment horizontal="left" vertical="center" wrapText="1"/>
    </xf>
    <xf numFmtId="0" fontId="19" fillId="7" borderId="39" xfId="0" applyFont="1" applyFill="1" applyBorder="1" applyAlignment="1">
      <alignment horizontal="left" vertical="center" wrapText="1"/>
    </xf>
    <xf numFmtId="4" fontId="15" fillId="0" borderId="35" xfId="0" applyNumberFormat="1" applyFont="1" applyBorder="1" applyAlignment="1">
      <alignment vertical="center"/>
    </xf>
    <xf numFmtId="4" fontId="15" fillId="0" borderId="42" xfId="0" applyNumberFormat="1" applyFont="1" applyBorder="1" applyAlignment="1">
      <alignment vertical="center"/>
    </xf>
    <xf numFmtId="165" fontId="14" fillId="5" borderId="0" xfId="1" applyNumberFormat="1" applyFont="1" applyFill="1" applyAlignment="1">
      <alignment horizontal="right"/>
    </xf>
    <xf numFmtId="165" fontId="15" fillId="0" borderId="0" xfId="1" applyNumberFormat="1" applyFont="1" applyFill="1" applyBorder="1" applyAlignment="1">
      <alignment wrapText="1"/>
    </xf>
    <xf numFmtId="0" fontId="14" fillId="5" borderId="32" xfId="0" applyFont="1" applyFill="1" applyBorder="1" applyAlignment="1">
      <alignment vertical="center" wrapText="1"/>
    </xf>
    <xf numFmtId="164" fontId="15" fillId="5" borderId="43" xfId="1" applyFont="1" applyFill="1" applyBorder="1" applyAlignment="1">
      <alignment vertical="center"/>
    </xf>
    <xf numFmtId="165" fontId="14" fillId="0" borderId="0" xfId="1" applyNumberFormat="1" applyFont="1" applyFill="1" applyBorder="1" applyAlignment="1">
      <alignment wrapText="1"/>
    </xf>
    <xf numFmtId="0" fontId="14" fillId="5" borderId="17" xfId="0" applyFont="1" applyFill="1" applyBorder="1" applyAlignment="1">
      <alignment vertical="center" wrapText="1"/>
    </xf>
    <xf numFmtId="164" fontId="15" fillId="5" borderId="40" xfId="1" applyFont="1" applyFill="1" applyBorder="1" applyAlignment="1">
      <alignment vertical="center"/>
    </xf>
    <xf numFmtId="0" fontId="15" fillId="5" borderId="17" xfId="0" applyFont="1" applyFill="1" applyBorder="1" applyAlignment="1">
      <alignment vertical="center" wrapText="1"/>
    </xf>
    <xf numFmtId="4" fontId="14" fillId="0" borderId="0" xfId="0" applyNumberFormat="1" applyFont="1" applyAlignment="1">
      <alignment vertical="center" wrapText="1"/>
    </xf>
    <xf numFmtId="165" fontId="15" fillId="2" borderId="0" xfId="1" applyNumberFormat="1" applyFont="1" applyFill="1" applyBorder="1" applyAlignment="1">
      <alignment wrapText="1"/>
    </xf>
    <xf numFmtId="4" fontId="15" fillId="0" borderId="0" xfId="0" applyNumberFormat="1" applyFont="1" applyAlignment="1">
      <alignment vertical="center" wrapText="1"/>
    </xf>
    <xf numFmtId="165" fontId="14" fillId="2" borderId="0" xfId="1" applyNumberFormat="1" applyFont="1" applyFill="1" applyBorder="1" applyAlignment="1">
      <alignment wrapText="1"/>
    </xf>
    <xf numFmtId="0" fontId="14" fillId="0" borderId="0" xfId="0" applyFont="1" applyAlignment="1">
      <alignment horizontal="justify" vertical="center" wrapText="1"/>
    </xf>
    <xf numFmtId="0" fontId="14" fillId="0" borderId="0" xfId="0" applyFont="1" applyAlignment="1">
      <alignment horizontal="center" vertical="center" wrapText="1"/>
    </xf>
    <xf numFmtId="165" fontId="15" fillId="5" borderId="0" xfId="1" applyNumberFormat="1" applyFont="1" applyFill="1" applyBorder="1"/>
    <xf numFmtId="0" fontId="18" fillId="4" borderId="9" xfId="0" applyFont="1" applyFill="1" applyBorder="1" applyAlignment="1">
      <alignment horizontal="left" vertical="center" wrapText="1"/>
    </xf>
    <xf numFmtId="0" fontId="18" fillId="4" borderId="14" xfId="0" applyFont="1" applyFill="1" applyBorder="1" applyAlignment="1">
      <alignment horizontal="left" vertical="center" wrapText="1"/>
    </xf>
    <xf numFmtId="0" fontId="18" fillId="4" borderId="24" xfId="0" applyFont="1" applyFill="1" applyBorder="1" applyAlignment="1">
      <alignment horizontal="left" vertical="center" wrapText="1"/>
    </xf>
    <xf numFmtId="0" fontId="14" fillId="0" borderId="32" xfId="0" applyFont="1" applyBorder="1" applyAlignment="1">
      <alignment vertical="center" wrapText="1"/>
    </xf>
    <xf numFmtId="0" fontId="14" fillId="0" borderId="17" xfId="0" applyFont="1" applyBorder="1" applyAlignment="1">
      <alignment vertical="center" wrapText="1"/>
    </xf>
    <xf numFmtId="4" fontId="20" fillId="0" borderId="0" xfId="0" applyNumberFormat="1" applyFont="1"/>
    <xf numFmtId="164" fontId="21" fillId="0" borderId="2" xfId="1" applyFont="1" applyBorder="1" applyAlignment="1">
      <alignment horizontal="left" vertical="center" wrapText="1"/>
    </xf>
    <xf numFmtId="164" fontId="18" fillId="0" borderId="2" xfId="1" applyFont="1" applyBorder="1" applyAlignment="1">
      <alignment horizontal="left" vertical="center" wrapText="1"/>
    </xf>
    <xf numFmtId="0" fontId="15" fillId="0" borderId="0" xfId="0" applyFont="1"/>
    <xf numFmtId="0" fontId="14" fillId="0" borderId="17" xfId="0" applyFont="1" applyBorder="1"/>
    <xf numFmtId="0" fontId="22" fillId="0" borderId="22" xfId="0" applyFont="1" applyBorder="1"/>
    <xf numFmtId="14" fontId="14" fillId="0" borderId="22" xfId="0" applyNumberFormat="1" applyFont="1" applyBorder="1"/>
    <xf numFmtId="14" fontId="14" fillId="0" borderId="23" xfId="0" applyNumberFormat="1" applyFont="1" applyBorder="1"/>
    <xf numFmtId="0" fontId="15" fillId="11" borderId="31" xfId="0" applyFont="1" applyFill="1" applyBorder="1"/>
    <xf numFmtId="0" fontId="15" fillId="11" borderId="25" xfId="0" applyFont="1" applyFill="1" applyBorder="1"/>
    <xf numFmtId="0" fontId="15" fillId="11" borderId="30" xfId="0" applyFont="1" applyFill="1" applyBorder="1" applyAlignment="1">
      <alignment wrapText="1"/>
    </xf>
    <xf numFmtId="0" fontId="14" fillId="0" borderId="29" xfId="0" applyFont="1" applyBorder="1" applyAlignment="1">
      <alignment horizontal="left"/>
    </xf>
    <xf numFmtId="166" fontId="14" fillId="0" borderId="4" xfId="0" applyNumberFormat="1" applyFont="1" applyBorder="1"/>
    <xf numFmtId="166" fontId="14" fillId="10" borderId="4" xfId="0" applyNumberFormat="1" applyFont="1" applyFill="1" applyBorder="1"/>
    <xf numFmtId="0" fontId="14" fillId="0" borderId="27" xfId="0" applyFont="1" applyBorder="1" applyAlignment="1">
      <alignment wrapText="1"/>
    </xf>
    <xf numFmtId="0" fontId="14" fillId="0" borderId="4" xfId="0" applyFont="1" applyBorder="1"/>
    <xf numFmtId="0" fontId="14" fillId="0" borderId="28" xfId="0" applyFont="1" applyBorder="1" applyAlignment="1">
      <alignment wrapText="1"/>
    </xf>
    <xf numFmtId="9" fontId="14" fillId="0" borderId="0" xfId="2" applyFont="1" applyFill="1"/>
    <xf numFmtId="0" fontId="16" fillId="0" borderId="29" xfId="0" applyFont="1" applyBorder="1" applyAlignment="1">
      <alignment horizontal="left"/>
    </xf>
    <xf numFmtId="166" fontId="16" fillId="0" borderId="4" xfId="2" applyNumberFormat="1" applyFont="1" applyBorder="1"/>
    <xf numFmtId="0" fontId="16" fillId="0" borderId="27" xfId="0" applyFont="1" applyBorder="1"/>
    <xf numFmtId="0" fontId="16" fillId="0" borderId="0" xfId="0" applyFont="1"/>
    <xf numFmtId="166" fontId="16" fillId="0" borderId="4" xfId="0" applyNumberFormat="1" applyFont="1" applyBorder="1"/>
    <xf numFmtId="0" fontId="16" fillId="0" borderId="32" xfId="0" applyFont="1" applyBorder="1"/>
    <xf numFmtId="9" fontId="16" fillId="0" borderId="4" xfId="2" applyFont="1" applyBorder="1"/>
    <xf numFmtId="0" fontId="17" fillId="0" borderId="33" xfId="0" applyFont="1" applyBorder="1"/>
    <xf numFmtId="164" fontId="17" fillId="0" borderId="4" xfId="0" applyNumberFormat="1" applyFont="1" applyBorder="1"/>
    <xf numFmtId="164" fontId="17" fillId="10" borderId="4" xfId="0" applyNumberFormat="1" applyFont="1" applyFill="1" applyBorder="1"/>
    <xf numFmtId="164" fontId="17" fillId="0" borderId="18" xfId="0" applyNumberFormat="1" applyFont="1" applyBorder="1"/>
    <xf numFmtId="0" fontId="17" fillId="0" borderId="27" xfId="0" applyFont="1" applyBorder="1"/>
    <xf numFmtId="0" fontId="17" fillId="0" borderId="0" xfId="0" applyFont="1"/>
    <xf numFmtId="0" fontId="17" fillId="0" borderId="39" xfId="0" applyFont="1" applyBorder="1"/>
    <xf numFmtId="164" fontId="17" fillId="0" borderId="35" xfId="0" applyNumberFormat="1" applyFont="1" applyBorder="1"/>
    <xf numFmtId="164" fontId="17" fillId="10" borderId="35" xfId="0" applyNumberFormat="1" applyFont="1" applyFill="1" applyBorder="1"/>
    <xf numFmtId="164" fontId="17" fillId="0" borderId="36" xfId="0" applyNumberFormat="1" applyFont="1" applyBorder="1"/>
    <xf numFmtId="0" fontId="16" fillId="0" borderId="34" xfId="0" applyFont="1" applyBorder="1"/>
    <xf numFmtId="0" fontId="15" fillId="3" borderId="5" xfId="0" applyFont="1" applyFill="1" applyBorder="1" applyAlignment="1">
      <alignment vertical="top" wrapText="1"/>
    </xf>
    <xf numFmtId="0" fontId="15" fillId="3" borderId="5" xfId="0" applyFont="1" applyFill="1" applyBorder="1" applyAlignment="1">
      <alignment horizontal="left" vertical="top" wrapText="1" indent="3"/>
    </xf>
    <xf numFmtId="0" fontId="15" fillId="3" borderId="13" xfId="0" applyFont="1" applyFill="1" applyBorder="1" applyAlignment="1">
      <alignment vertical="top" wrapText="1"/>
    </xf>
    <xf numFmtId="0" fontId="15" fillId="3" borderId="15" xfId="0" applyFont="1" applyFill="1" applyBorder="1" applyAlignment="1">
      <alignment vertical="top" wrapText="1"/>
    </xf>
    <xf numFmtId="0" fontId="14" fillId="2" borderId="9" xfId="0" applyFont="1" applyFill="1" applyBorder="1" applyAlignment="1">
      <alignment vertical="top" wrapText="1"/>
    </xf>
    <xf numFmtId="0" fontId="15" fillId="2" borderId="4" xfId="0" applyFont="1" applyFill="1" applyBorder="1" applyAlignment="1">
      <alignment vertical="top" wrapText="1"/>
    </xf>
    <xf numFmtId="0" fontId="15" fillId="2" borderId="2" xfId="0" applyFont="1" applyFill="1" applyBorder="1" applyAlignment="1">
      <alignment vertical="top" wrapText="1"/>
    </xf>
    <xf numFmtId="0" fontId="15" fillId="2" borderId="3" xfId="0" applyFont="1" applyFill="1" applyBorder="1" applyAlignment="1">
      <alignment vertical="top" wrapText="1"/>
    </xf>
    <xf numFmtId="0" fontId="14" fillId="2" borderId="0" xfId="0" applyFont="1" applyFill="1" applyAlignment="1"/>
    <xf numFmtId="0" fontId="15" fillId="8" borderId="50" xfId="0" applyFont="1" applyFill="1" applyBorder="1" applyAlignment="1">
      <alignment vertical="top" wrapText="1"/>
    </xf>
    <xf numFmtId="168" fontId="14" fillId="5" borderId="0" xfId="1" applyNumberFormat="1" applyFont="1" applyFill="1" applyAlignment="1"/>
    <xf numFmtId="0" fontId="15" fillId="3" borderId="51" xfId="0" applyFont="1" applyFill="1" applyBorder="1" applyAlignment="1">
      <alignment vertical="top"/>
    </xf>
    <xf numFmtId="0" fontId="15" fillId="3" borderId="52" xfId="0" applyFont="1" applyFill="1" applyBorder="1" applyAlignment="1">
      <alignment horizontal="left" vertical="top" wrapText="1" indent="3"/>
    </xf>
    <xf numFmtId="0" fontId="15" fillId="3" borderId="50" xfId="0" applyFont="1" applyFill="1" applyBorder="1" applyAlignment="1">
      <alignment vertical="top"/>
    </xf>
    <xf numFmtId="0" fontId="15" fillId="11" borderId="53" xfId="0" applyFont="1" applyFill="1" applyBorder="1" applyAlignment="1">
      <alignment vertical="top"/>
    </xf>
    <xf numFmtId="0" fontId="15" fillId="3" borderId="52" xfId="0" applyFont="1" applyFill="1" applyBorder="1" applyAlignment="1">
      <alignment vertical="top"/>
    </xf>
    <xf numFmtId="0" fontId="15" fillId="3" borderId="54" xfId="0" applyFont="1" applyFill="1" applyBorder="1" applyAlignment="1">
      <alignment vertical="top"/>
    </xf>
    <xf numFmtId="0" fontId="15" fillId="3" borderId="55" xfId="0" applyFont="1" applyFill="1" applyBorder="1" applyAlignment="1">
      <alignment vertical="top"/>
    </xf>
    <xf numFmtId="0" fontId="15" fillId="0" borderId="56" xfId="0" applyFont="1" applyBorder="1" applyAlignment="1">
      <alignment horizontal="center"/>
    </xf>
    <xf numFmtId="0" fontId="14" fillId="0" borderId="50" xfId="0" applyFont="1" applyBorder="1" applyAlignment="1">
      <alignment vertical="center" wrapText="1"/>
    </xf>
    <xf numFmtId="0" fontId="14" fillId="0" borderId="11" xfId="0" applyFont="1" applyBorder="1" applyAlignment="1"/>
    <xf numFmtId="0" fontId="14" fillId="0" borderId="57" xfId="0" applyFont="1" applyBorder="1" applyAlignment="1"/>
    <xf numFmtId="0" fontId="14" fillId="0" borderId="58" xfId="0" applyFont="1" applyBorder="1" applyAlignment="1"/>
    <xf numFmtId="0" fontId="15" fillId="0" borderId="59" xfId="0" applyFont="1" applyBorder="1" applyAlignment="1">
      <alignment horizontal="center"/>
    </xf>
    <xf numFmtId="0" fontId="14" fillId="0" borderId="60" xfId="0" applyFont="1" applyBorder="1" applyAlignment="1">
      <alignment vertical="center" wrapText="1"/>
    </xf>
    <xf numFmtId="0" fontId="15" fillId="0" borderId="50" xfId="0" applyFont="1" applyBorder="1" applyAlignment="1">
      <alignment vertical="center" wrapText="1"/>
    </xf>
    <xf numFmtId="0" fontId="14" fillId="0" borderId="59" xfId="0" applyFont="1" applyBorder="1" applyAlignment="1">
      <alignment horizontal="center"/>
    </xf>
    <xf numFmtId="0" fontId="15" fillId="0" borderId="50" xfId="0" applyFont="1" applyBorder="1" applyAlignment="1">
      <alignment horizontal="left" vertical="center" wrapText="1" indent="7"/>
    </xf>
    <xf numFmtId="0" fontId="14" fillId="0" borderId="50" xfId="0" applyFont="1" applyBorder="1" applyAlignment="1"/>
    <xf numFmtId="164" fontId="14" fillId="0" borderId="9" xfId="1" applyFont="1" applyBorder="1" applyAlignment="1">
      <alignment horizontal="right" vertical="center"/>
    </xf>
    <xf numFmtId="164" fontId="15" fillId="0" borderId="9" xfId="1" applyFont="1" applyBorder="1" applyAlignment="1">
      <alignment horizontal="right" vertical="center"/>
    </xf>
    <xf numFmtId="0" fontId="15" fillId="5" borderId="9" xfId="0" applyFont="1" applyFill="1" applyBorder="1" applyAlignment="1">
      <alignment vertical="center" wrapText="1"/>
    </xf>
    <xf numFmtId="165" fontId="15" fillId="12" borderId="9" xfId="1" applyNumberFormat="1" applyFont="1" applyFill="1" applyBorder="1" applyAlignment="1">
      <alignment vertical="top" wrapText="1"/>
    </xf>
    <xf numFmtId="164" fontId="15" fillId="5" borderId="19" xfId="1" applyFont="1" applyFill="1" applyBorder="1" applyAlignment="1">
      <alignment vertical="center" wrapText="1"/>
    </xf>
    <xf numFmtId="164" fontId="15" fillId="0" borderId="0" xfId="1" applyFont="1" applyFill="1" applyBorder="1"/>
    <xf numFmtId="0" fontId="18" fillId="5" borderId="8" xfId="0" applyFont="1" applyFill="1" applyBorder="1" applyAlignment="1">
      <alignment horizontal="left" vertical="center" wrapText="1"/>
    </xf>
    <xf numFmtId="4" fontId="15" fillId="5" borderId="37" xfId="0" applyNumberFormat="1" applyFont="1" applyFill="1" applyBorder="1" applyAlignment="1">
      <alignment horizontal="right"/>
    </xf>
    <xf numFmtId="4" fontId="15" fillId="5" borderId="38" xfId="0" applyNumberFormat="1" applyFont="1" applyFill="1" applyBorder="1" applyAlignment="1">
      <alignment horizontal="right"/>
    </xf>
    <xf numFmtId="165" fontId="15" fillId="5" borderId="0" xfId="1" applyNumberFormat="1" applyFont="1" applyFill="1" applyBorder="1" applyAlignment="1">
      <alignment horizontal="right" wrapText="1"/>
    </xf>
    <xf numFmtId="2" fontId="15" fillId="0" borderId="9" xfId="1" applyNumberFormat="1" applyFont="1" applyBorder="1" applyAlignment="1">
      <alignment horizontal="right" vertical="center"/>
    </xf>
    <xf numFmtId="164" fontId="14" fillId="0" borderId="9" xfId="1" applyFont="1" applyBorder="1" applyAlignment="1">
      <alignment horizontal="right" vertical="center" wrapText="1"/>
    </xf>
    <xf numFmtId="0" fontId="14" fillId="0" borderId="0" xfId="0" applyFont="1" applyBorder="1" applyAlignment="1">
      <alignment wrapText="1"/>
    </xf>
    <xf numFmtId="0" fontId="21" fillId="0" borderId="3" xfId="0" applyFont="1" applyBorder="1" applyAlignment="1">
      <alignment vertical="center" wrapText="1"/>
    </xf>
    <xf numFmtId="169" fontId="21" fillId="0" borderId="3" xfId="0" applyNumberFormat="1" applyFont="1" applyBorder="1" applyAlignment="1">
      <alignment vertical="center" wrapText="1"/>
    </xf>
    <xf numFmtId="9" fontId="21" fillId="0" borderId="3" xfId="0" applyNumberFormat="1" applyFont="1" applyBorder="1" applyAlignment="1">
      <alignment vertical="center" wrapText="1"/>
    </xf>
    <xf numFmtId="0" fontId="21" fillId="0" borderId="0" xfId="0" applyFont="1" applyBorder="1" applyAlignment="1">
      <alignment vertical="center" wrapText="1"/>
    </xf>
    <xf numFmtId="0" fontId="15" fillId="14" borderId="9" xfId="0" applyFont="1" applyFill="1" applyBorder="1" applyAlignment="1">
      <alignment vertical="top" wrapText="1"/>
    </xf>
    <xf numFmtId="0" fontId="15" fillId="3" borderId="21" xfId="0" applyFont="1" applyFill="1" applyBorder="1" applyAlignment="1">
      <alignment vertical="top" wrapText="1"/>
    </xf>
    <xf numFmtId="0" fontId="15" fillId="2" borderId="26" xfId="0" applyFont="1" applyFill="1" applyBorder="1" applyAlignment="1">
      <alignment vertical="top" wrapText="1"/>
    </xf>
    <xf numFmtId="0" fontId="14" fillId="0" borderId="2" xfId="0" applyFont="1" applyBorder="1" applyAlignment="1">
      <alignment horizontal="center" vertical="top"/>
    </xf>
    <xf numFmtId="9" fontId="14" fillId="0" borderId="50" xfId="0" applyNumberFormat="1" applyFont="1" applyBorder="1" applyAlignment="1">
      <alignment vertical="top"/>
    </xf>
    <xf numFmtId="0" fontId="14" fillId="0" borderId="0" xfId="0" applyFont="1" applyAlignment="1"/>
    <xf numFmtId="0" fontId="14" fillId="0" borderId="0" xfId="0" applyFont="1" applyBorder="1" applyAlignment="1">
      <alignment horizontal="center" vertical="top"/>
    </xf>
    <xf numFmtId="0" fontId="15" fillId="2" borderId="0" xfId="0" applyFont="1" applyFill="1" applyBorder="1" applyAlignment="1">
      <alignment vertical="top" wrapText="1"/>
    </xf>
    <xf numFmtId="9" fontId="14" fillId="0" borderId="0" xfId="0" applyNumberFormat="1" applyFont="1" applyBorder="1" applyAlignment="1">
      <alignment vertical="top"/>
    </xf>
    <xf numFmtId="0" fontId="15" fillId="11" borderId="14" xfId="0" applyFont="1" applyFill="1" applyBorder="1" applyAlignment="1">
      <alignment vertical="top"/>
    </xf>
    <xf numFmtId="0" fontId="14" fillId="0" borderId="0" xfId="0" applyFont="1" applyAlignment="1">
      <alignment vertical="center" wrapText="1"/>
    </xf>
    <xf numFmtId="0" fontId="15" fillId="2" borderId="66" xfId="0" applyFont="1" applyFill="1" applyBorder="1" applyAlignment="1">
      <alignment vertical="top" wrapText="1"/>
    </xf>
    <xf numFmtId="0" fontId="14" fillId="2" borderId="8" xfId="0" applyFont="1" applyFill="1" applyBorder="1" applyAlignment="1">
      <alignment vertical="top" wrapText="1"/>
    </xf>
    <xf numFmtId="0" fontId="14" fillId="0" borderId="2" xfId="0" applyFont="1" applyBorder="1" applyAlignment="1">
      <alignment vertical="top" wrapText="1"/>
    </xf>
    <xf numFmtId="0" fontId="14" fillId="0" borderId="57" xfId="0" applyFont="1" applyBorder="1" applyAlignment="1">
      <alignment vertical="top" wrapText="1"/>
    </xf>
    <xf numFmtId="0" fontId="14" fillId="0" borderId="58" xfId="0" applyFont="1" applyBorder="1" applyAlignment="1">
      <alignment vertical="top" wrapText="1"/>
    </xf>
    <xf numFmtId="9" fontId="14" fillId="2" borderId="61" xfId="0" applyNumberFormat="1" applyFont="1" applyFill="1" applyBorder="1" applyAlignment="1">
      <alignment horizontal="left" vertical="top"/>
    </xf>
    <xf numFmtId="9" fontId="14" fillId="0" borderId="2" xfId="0" applyNumberFormat="1" applyFont="1" applyBorder="1" applyAlignment="1">
      <alignment vertical="top" wrapText="1"/>
    </xf>
    <xf numFmtId="0" fontId="14" fillId="15" borderId="9" xfId="0" applyFont="1" applyFill="1" applyBorder="1" applyAlignment="1">
      <alignment vertical="top"/>
    </xf>
    <xf numFmtId="0" fontId="15" fillId="11" borderId="9" xfId="0" applyFont="1" applyFill="1" applyBorder="1" applyAlignment="1">
      <alignment vertical="top" wrapText="1"/>
    </xf>
    <xf numFmtId="0" fontId="15" fillId="11" borderId="24" xfId="0" applyFont="1" applyFill="1" applyBorder="1" applyAlignment="1">
      <alignment vertical="top"/>
    </xf>
    <xf numFmtId="0" fontId="15" fillId="2" borderId="0" xfId="0" applyFont="1" applyFill="1" applyAlignment="1"/>
    <xf numFmtId="0" fontId="14" fillId="0" borderId="2" xfId="0" applyFont="1" applyBorder="1" applyAlignment="1">
      <alignment vertical="center" wrapText="1"/>
    </xf>
    <xf numFmtId="0" fontId="14" fillId="0" borderId="75" xfId="0" applyFont="1" applyBorder="1" applyAlignment="1">
      <alignment vertical="center" wrapText="1"/>
    </xf>
    <xf numFmtId="9" fontId="14" fillId="0" borderId="75" xfId="0" applyNumberFormat="1" applyFont="1" applyBorder="1" applyAlignment="1">
      <alignment vertical="center" wrapText="1"/>
    </xf>
    <xf numFmtId="0" fontId="14" fillId="2" borderId="0" xfId="0" applyFont="1" applyFill="1" applyAlignment="1">
      <alignment horizontal="left" vertical="top" wrapText="1"/>
    </xf>
    <xf numFmtId="0" fontId="14" fillId="0" borderId="0" xfId="0" applyFont="1" applyAlignment="1">
      <alignment vertical="top"/>
    </xf>
    <xf numFmtId="0" fontId="14" fillId="0" borderId="9" xfId="0" applyFont="1" applyBorder="1" applyAlignment="1">
      <alignment vertical="top" wrapText="1"/>
    </xf>
    <xf numFmtId="0" fontId="15" fillId="0" borderId="9" xfId="0" applyFont="1" applyBorder="1" applyAlignment="1">
      <alignment vertical="top" wrapText="1"/>
    </xf>
    <xf numFmtId="0" fontId="15" fillId="0" borderId="2" xfId="0" applyFont="1" applyBorder="1" applyAlignment="1">
      <alignment vertical="top" wrapText="1"/>
    </xf>
    <xf numFmtId="0" fontId="14" fillId="0" borderId="59" xfId="0" applyFont="1" applyBorder="1" applyAlignment="1">
      <alignment vertical="top" wrapText="1"/>
    </xf>
    <xf numFmtId="0" fontId="18" fillId="0" borderId="2" xfId="0" applyFont="1" applyBorder="1" applyAlignment="1">
      <alignment vertical="center" wrapText="1"/>
    </xf>
    <xf numFmtId="0" fontId="18" fillId="0" borderId="3" xfId="0" applyFont="1" applyBorder="1" applyAlignment="1">
      <alignment vertical="center" wrapText="1"/>
    </xf>
    <xf numFmtId="22" fontId="25" fillId="0" borderId="3" xfId="0" applyNumberFormat="1" applyFont="1" applyBorder="1" applyAlignment="1">
      <alignment vertical="center" wrapText="1"/>
    </xf>
    <xf numFmtId="0" fontId="18" fillId="0" borderId="0" xfId="0" applyFont="1" applyBorder="1" applyAlignment="1">
      <alignment vertical="center" wrapText="1"/>
    </xf>
    <xf numFmtId="0" fontId="14" fillId="0" borderId="78" xfId="0" applyFont="1" applyBorder="1" applyAlignment="1">
      <alignment horizontal="center" vertical="top"/>
    </xf>
    <xf numFmtId="0" fontId="14" fillId="0" borderId="79" xfId="0" applyFont="1" applyBorder="1" applyAlignment="1">
      <alignment vertical="top"/>
    </xf>
    <xf numFmtId="0" fontId="14" fillId="0" borderId="59" xfId="0" applyFont="1" applyBorder="1" applyAlignment="1">
      <alignment vertical="top"/>
    </xf>
    <xf numFmtId="0" fontId="21" fillId="2" borderId="78" xfId="0" applyFont="1" applyFill="1" applyBorder="1" applyAlignment="1">
      <alignment vertical="top" wrapText="1"/>
    </xf>
    <xf numFmtId="0" fontId="14" fillId="2" borderId="78" xfId="0" applyFont="1" applyFill="1" applyBorder="1" applyAlignment="1">
      <alignment vertical="top" wrapText="1"/>
    </xf>
    <xf numFmtId="9" fontId="14" fillId="2" borderId="78" xfId="0" applyNumberFormat="1" applyFont="1" applyFill="1" applyBorder="1" applyAlignment="1">
      <alignment wrapText="1"/>
    </xf>
    <xf numFmtId="0" fontId="15" fillId="2" borderId="77" xfId="0" applyFont="1" applyFill="1" applyBorder="1" applyAlignment="1">
      <alignment vertical="top"/>
    </xf>
    <xf numFmtId="0" fontId="15" fillId="11" borderId="9" xfId="0" applyFont="1" applyFill="1" applyBorder="1" applyAlignment="1">
      <alignment vertical="top"/>
    </xf>
    <xf numFmtId="0" fontId="15" fillId="11" borderId="1" xfId="0" applyFont="1" applyFill="1" applyBorder="1" applyAlignment="1">
      <alignment vertical="top"/>
    </xf>
    <xf numFmtId="0" fontId="15" fillId="11" borderId="49" xfId="0" applyFont="1" applyFill="1" applyBorder="1" applyAlignment="1">
      <alignment vertical="top"/>
    </xf>
    <xf numFmtId="0" fontId="15" fillId="11" borderId="76" xfId="0" applyFont="1" applyFill="1" applyBorder="1" applyAlignment="1">
      <alignment vertical="top"/>
    </xf>
    <xf numFmtId="0" fontId="15" fillId="11" borderId="77" xfId="0" applyFont="1" applyFill="1" applyBorder="1" applyAlignment="1">
      <alignment vertical="top"/>
    </xf>
    <xf numFmtId="0" fontId="15" fillId="3" borderId="78" xfId="0" applyFont="1" applyFill="1" applyBorder="1" applyAlignment="1">
      <alignment vertical="top" wrapText="1"/>
    </xf>
    <xf numFmtId="0" fontId="20" fillId="0" borderId="2" xfId="0" applyFont="1" applyBorder="1" applyAlignment="1">
      <alignment vertical="center" wrapText="1"/>
    </xf>
    <xf numFmtId="0" fontId="21" fillId="0" borderId="66" xfId="0" applyFont="1" applyBorder="1" applyAlignment="1">
      <alignment vertical="center" wrapText="1"/>
    </xf>
    <xf numFmtId="0" fontId="20" fillId="0" borderId="66" xfId="0" applyFont="1" applyBorder="1" applyAlignment="1">
      <alignment vertical="center" wrapText="1"/>
    </xf>
    <xf numFmtId="0" fontId="18" fillId="0" borderId="66" xfId="0" applyFont="1" applyBorder="1" applyAlignment="1">
      <alignment vertical="center" wrapText="1"/>
    </xf>
    <xf numFmtId="0" fontId="14" fillId="2" borderId="80" xfId="0" applyFont="1" applyFill="1" applyBorder="1" applyAlignment="1"/>
    <xf numFmtId="0" fontId="14" fillId="0" borderId="0" xfId="0" applyFont="1" applyBorder="1" applyAlignment="1">
      <alignment vertical="center" wrapText="1"/>
    </xf>
    <xf numFmtId="0" fontId="14" fillId="2" borderId="0" xfId="0" applyFont="1" applyFill="1" applyBorder="1" applyAlignment="1"/>
    <xf numFmtId="0" fontId="20" fillId="0" borderId="0" xfId="0" applyFont="1" applyBorder="1" applyAlignment="1">
      <alignment vertical="center" wrapText="1"/>
    </xf>
    <xf numFmtId="0" fontId="15" fillId="0" borderId="0" xfId="0" applyFont="1" applyBorder="1" applyAlignment="1">
      <alignment vertical="center" wrapText="1"/>
    </xf>
    <xf numFmtId="0" fontId="15" fillId="0" borderId="83" xfId="0" applyFont="1" applyBorder="1" applyAlignment="1">
      <alignment horizontal="left" wrapText="1"/>
    </xf>
    <xf numFmtId="0" fontId="15" fillId="0" borderId="83" xfId="0" applyFont="1" applyBorder="1" applyAlignment="1">
      <alignment wrapText="1"/>
    </xf>
    <xf numFmtId="0" fontId="14" fillId="0" borderId="75" xfId="0" applyFont="1" applyBorder="1" applyAlignment="1">
      <alignment wrapText="1"/>
    </xf>
    <xf numFmtId="0" fontId="14" fillId="0" borderId="83" xfId="0" applyFont="1" applyBorder="1" applyAlignment="1">
      <alignment wrapText="1"/>
    </xf>
    <xf numFmtId="0" fontId="14" fillId="2" borderId="82" xfId="0" applyFont="1" applyFill="1" applyBorder="1" applyAlignment="1">
      <alignment vertical="top"/>
    </xf>
    <xf numFmtId="0" fontId="15" fillId="0" borderId="0" xfId="0" applyFont="1" applyBorder="1" applyAlignment="1">
      <alignment wrapText="1"/>
    </xf>
    <xf numFmtId="0" fontId="15" fillId="0" borderId="88" xfId="0" applyFont="1" applyBorder="1" applyAlignment="1">
      <alignment vertical="center" wrapText="1"/>
    </xf>
    <xf numFmtId="0" fontId="15" fillId="0" borderId="83" xfId="0" applyFont="1" applyBorder="1" applyAlignment="1">
      <alignment horizontal="left" vertical="center" wrapText="1" indent="7"/>
    </xf>
    <xf numFmtId="0" fontId="20" fillId="0" borderId="83" xfId="0" applyFont="1" applyBorder="1" applyAlignment="1">
      <alignment wrapText="1"/>
    </xf>
    <xf numFmtId="0" fontId="15" fillId="0" borderId="86" xfId="0" applyFont="1" applyBorder="1" applyAlignment="1">
      <alignment horizontal="left" wrapText="1"/>
    </xf>
    <xf numFmtId="0" fontId="14" fillId="2" borderId="86" xfId="0" applyFont="1" applyFill="1" applyBorder="1" applyAlignment="1">
      <alignment vertical="top"/>
    </xf>
    <xf numFmtId="0" fontId="15" fillId="0" borderId="0" xfId="0" applyFont="1" applyBorder="1" applyAlignment="1">
      <alignment horizontal="center"/>
    </xf>
    <xf numFmtId="0" fontId="15" fillId="0" borderId="0" xfId="0" applyFont="1" applyBorder="1" applyAlignment="1">
      <alignment horizontal="left" wrapText="1"/>
    </xf>
    <xf numFmtId="0" fontId="14" fillId="2" borderId="0" xfId="0" applyFont="1" applyFill="1" applyBorder="1" applyAlignment="1">
      <alignment vertical="top"/>
    </xf>
    <xf numFmtId="0" fontId="15" fillId="8" borderId="78" xfId="0" applyFont="1" applyFill="1" applyBorder="1" applyAlignment="1">
      <alignment vertical="top" wrapText="1"/>
    </xf>
    <xf numFmtId="0" fontId="15" fillId="8" borderId="77" xfId="0" applyFont="1" applyFill="1" applyBorder="1" applyAlignment="1">
      <alignment vertical="top" wrapText="1"/>
    </xf>
    <xf numFmtId="0" fontId="15" fillId="3" borderId="90" xfId="0" applyFont="1" applyFill="1" applyBorder="1" applyAlignment="1">
      <alignment horizontal="left" vertical="top" wrapText="1" indent="3"/>
    </xf>
    <xf numFmtId="0" fontId="15" fillId="11" borderId="91" xfId="0" applyFont="1" applyFill="1" applyBorder="1" applyAlignment="1">
      <alignment horizontal="center" vertical="center"/>
    </xf>
    <xf numFmtId="0" fontId="15" fillId="11" borderId="92" xfId="0" applyFont="1" applyFill="1" applyBorder="1" applyAlignment="1">
      <alignment horizontal="center" vertical="center"/>
    </xf>
    <xf numFmtId="0" fontId="15" fillId="2" borderId="82" xfId="0" applyFont="1" applyFill="1" applyBorder="1" applyAlignment="1">
      <alignment vertical="top" wrapText="1"/>
    </xf>
    <xf numFmtId="0" fontId="15" fillId="0" borderId="82" xfId="0" applyFont="1" applyBorder="1" applyAlignment="1">
      <alignment horizontal="center" wrapText="1"/>
    </xf>
    <xf numFmtId="0" fontId="15" fillId="0" borderId="82" xfId="0" applyFont="1" applyBorder="1" applyAlignment="1">
      <alignment vertical="center" wrapText="1"/>
    </xf>
    <xf numFmtId="0" fontId="14" fillId="0" borderId="82" xfId="0" applyFont="1" applyBorder="1" applyAlignment="1">
      <alignment vertical="top" wrapText="1"/>
    </xf>
    <xf numFmtId="0" fontId="14" fillId="0" borderId="83" xfId="0" applyFont="1" applyBorder="1" applyAlignment="1">
      <alignment vertical="top"/>
    </xf>
    <xf numFmtId="0" fontId="14" fillId="0" borderId="83" xfId="0" applyFont="1" applyBorder="1" applyAlignment="1">
      <alignment vertical="top" wrapText="1"/>
    </xf>
    <xf numFmtId="0" fontId="15" fillId="0" borderId="82" xfId="0" applyFont="1" applyBorder="1" applyAlignment="1">
      <alignment horizontal="left" wrapText="1"/>
    </xf>
    <xf numFmtId="169" fontId="14" fillId="0" borderId="83" xfId="0" applyNumberFormat="1" applyFont="1" applyBorder="1" applyAlignment="1">
      <alignment vertical="top" wrapText="1"/>
    </xf>
    <xf numFmtId="0" fontId="15" fillId="11" borderId="91" xfId="0" applyFont="1" applyFill="1" applyBorder="1" applyAlignment="1">
      <alignment vertical="top" wrapText="1"/>
    </xf>
    <xf numFmtId="0" fontId="15" fillId="3" borderId="94" xfId="0" applyFont="1" applyFill="1" applyBorder="1" applyAlignment="1">
      <alignment vertical="top" wrapText="1"/>
    </xf>
    <xf numFmtId="0" fontId="15" fillId="0" borderId="85" xfId="0" applyFont="1" applyBorder="1" applyAlignment="1">
      <alignment horizontal="center" wrapText="1"/>
    </xf>
    <xf numFmtId="0" fontId="15" fillId="8" borderId="13" xfId="0" applyFont="1" applyFill="1" applyBorder="1" applyAlignment="1">
      <alignment vertical="top" wrapText="1"/>
    </xf>
    <xf numFmtId="0" fontId="15" fillId="4" borderId="9" xfId="0" applyFont="1" applyFill="1" applyBorder="1" applyAlignment="1">
      <alignment vertical="top" wrapText="1"/>
    </xf>
    <xf numFmtId="0" fontId="15" fillId="4" borderId="1" xfId="0" applyFont="1" applyFill="1" applyBorder="1" applyAlignment="1">
      <alignment vertical="top" wrapText="1"/>
    </xf>
    <xf numFmtId="0" fontId="15" fillId="0" borderId="3" xfId="0" applyFont="1" applyBorder="1" applyAlignment="1">
      <alignment vertical="top" wrapText="1"/>
    </xf>
    <xf numFmtId="0" fontId="14" fillId="0" borderId="3" xfId="0" applyFont="1" applyBorder="1" applyAlignment="1">
      <alignment vertical="top" wrapText="1"/>
    </xf>
    <xf numFmtId="0" fontId="14" fillId="0" borderId="6" xfId="0" applyFont="1" applyBorder="1" applyAlignment="1">
      <alignment vertical="top" wrapText="1"/>
    </xf>
    <xf numFmtId="0" fontId="14" fillId="2" borderId="6" xfId="0" applyFont="1" applyFill="1" applyBorder="1" applyAlignment="1">
      <alignment vertical="top" wrapText="1"/>
    </xf>
    <xf numFmtId="0" fontId="18" fillId="0" borderId="75" xfId="0" applyFont="1" applyBorder="1" applyAlignment="1">
      <alignment vertical="center" wrapText="1"/>
    </xf>
    <xf numFmtId="0" fontId="15" fillId="3" borderId="62" xfId="0" applyFont="1" applyFill="1" applyBorder="1" applyAlignment="1">
      <alignment vertical="top" wrapText="1"/>
    </xf>
    <xf numFmtId="0" fontId="15" fillId="3" borderId="65" xfId="0" applyFont="1" applyFill="1" applyBorder="1" applyAlignment="1">
      <alignment vertical="top" wrapText="1"/>
    </xf>
    <xf numFmtId="0" fontId="15" fillId="3" borderId="63" xfId="0" applyFont="1" applyFill="1" applyBorder="1" applyAlignment="1">
      <alignment vertical="top" wrapText="1"/>
    </xf>
    <xf numFmtId="0" fontId="15" fillId="3" borderId="64" xfId="0" applyFont="1" applyFill="1" applyBorder="1" applyAlignment="1">
      <alignment vertical="top" wrapText="1"/>
    </xf>
    <xf numFmtId="0" fontId="15" fillId="0" borderId="95" xfId="0" applyFont="1" applyBorder="1" applyAlignment="1">
      <alignment horizontal="center" wrapText="1"/>
    </xf>
    <xf numFmtId="0" fontId="15" fillId="0" borderId="72" xfId="0" applyFont="1" applyBorder="1" applyAlignment="1">
      <alignment vertical="center" wrapText="1"/>
    </xf>
    <xf numFmtId="0" fontId="15" fillId="0" borderId="83" xfId="0" applyFont="1" applyBorder="1" applyAlignment="1">
      <alignment horizontal="center" wrapText="1"/>
    </xf>
    <xf numFmtId="0" fontId="15" fillId="0" borderId="87" xfId="0" applyFont="1" applyBorder="1" applyAlignment="1">
      <alignment horizontal="left" wrapText="1"/>
    </xf>
    <xf numFmtId="0" fontId="15" fillId="0" borderId="96" xfId="0" applyFont="1" applyBorder="1" applyAlignment="1">
      <alignment horizontal="center" wrapText="1"/>
    </xf>
    <xf numFmtId="0" fontId="15" fillId="0" borderId="73" xfId="0" applyFont="1" applyBorder="1" applyAlignment="1">
      <alignment horizontal="left" wrapText="1"/>
    </xf>
    <xf numFmtId="14" fontId="14" fillId="0" borderId="9" xfId="0" applyNumberFormat="1" applyFont="1" applyBorder="1"/>
    <xf numFmtId="0" fontId="15" fillId="2" borderId="74" xfId="0" applyFont="1" applyFill="1" applyBorder="1" applyAlignment="1">
      <alignment vertical="top" wrapText="1"/>
    </xf>
    <xf numFmtId="0" fontId="15" fillId="11" borderId="74" xfId="0" applyFont="1" applyFill="1" applyBorder="1" applyAlignment="1">
      <alignment vertical="top" wrapText="1"/>
    </xf>
    <xf numFmtId="0" fontId="15" fillId="0" borderId="57" xfId="0" applyFont="1" applyBorder="1" applyAlignment="1">
      <alignment horizontal="center" wrapText="1"/>
    </xf>
    <xf numFmtId="0" fontId="15" fillId="0" borderId="57" xfId="0" applyFont="1" applyBorder="1" applyAlignment="1">
      <alignment vertical="center" wrapText="1"/>
    </xf>
    <xf numFmtId="0" fontId="14" fillId="2" borderId="57" xfId="0" applyFont="1" applyFill="1" applyBorder="1" applyAlignment="1">
      <alignment vertical="top" wrapText="1"/>
    </xf>
    <xf numFmtId="0" fontId="15" fillId="0" borderId="57" xfId="0" applyFont="1" applyBorder="1" applyAlignment="1">
      <alignment horizontal="left" wrapText="1"/>
    </xf>
    <xf numFmtId="0" fontId="15" fillId="0" borderId="0" xfId="0" applyFont="1" applyBorder="1" applyAlignment="1">
      <alignment horizontal="center" wrapText="1"/>
    </xf>
    <xf numFmtId="0" fontId="14" fillId="2" borderId="0" xfId="0" applyFont="1" applyFill="1" applyBorder="1" applyAlignment="1">
      <alignment vertical="top" wrapText="1"/>
    </xf>
    <xf numFmtId="0" fontId="15" fillId="2" borderId="67" xfId="0" applyFont="1" applyFill="1" applyBorder="1" applyAlignment="1">
      <alignment vertical="top" wrapText="1"/>
    </xf>
    <xf numFmtId="0" fontId="15" fillId="3" borderId="9" xfId="0" applyFont="1" applyFill="1" applyBorder="1" applyAlignment="1">
      <alignment vertical="top" wrapText="1"/>
    </xf>
    <xf numFmtId="0" fontId="15" fillId="11" borderId="16" xfId="0" applyFont="1" applyFill="1" applyBorder="1" applyAlignment="1">
      <alignment vertical="top" wrapText="1"/>
    </xf>
    <xf numFmtId="0" fontId="15" fillId="11" borderId="68" xfId="0" applyFont="1" applyFill="1" applyBorder="1" applyAlignment="1">
      <alignment vertical="top" wrapText="1"/>
    </xf>
    <xf numFmtId="0" fontId="15" fillId="11" borderId="69" xfId="0" applyFont="1" applyFill="1" applyBorder="1" applyAlignment="1">
      <alignment vertical="top" wrapText="1"/>
    </xf>
    <xf numFmtId="0" fontId="15" fillId="0" borderId="70" xfId="0" applyFont="1" applyBorder="1" applyAlignment="1">
      <alignment horizontal="center" wrapText="1"/>
    </xf>
    <xf numFmtId="0" fontId="15" fillId="0" borderId="71" xfId="0" applyFont="1" applyBorder="1" applyAlignment="1">
      <alignment vertical="center" wrapText="1"/>
    </xf>
    <xf numFmtId="0" fontId="15" fillId="0" borderId="9" xfId="0" applyFont="1" applyBorder="1" applyAlignment="1">
      <alignment vertical="center" wrapText="1"/>
    </xf>
    <xf numFmtId="0" fontId="15" fillId="2" borderId="93" xfId="0" applyFont="1" applyFill="1" applyBorder="1" applyAlignment="1">
      <alignment vertical="top" wrapText="1"/>
    </xf>
    <xf numFmtId="0" fontId="15" fillId="11" borderId="92" xfId="0" applyFont="1" applyFill="1" applyBorder="1" applyAlignment="1">
      <alignment vertical="top" wrapText="1"/>
    </xf>
    <xf numFmtId="0" fontId="15" fillId="0" borderId="84" xfId="0" applyFont="1" applyBorder="1" applyAlignment="1">
      <alignment horizontal="center" wrapText="1"/>
    </xf>
    <xf numFmtId="0" fontId="15" fillId="14" borderId="98" xfId="0" applyFont="1" applyFill="1" applyBorder="1" applyAlignment="1">
      <alignment vertical="top" wrapText="1"/>
    </xf>
    <xf numFmtId="0" fontId="15" fillId="0" borderId="93" xfId="0" applyFont="1" applyBorder="1" applyAlignment="1">
      <alignment horizontal="center" wrapText="1"/>
    </xf>
    <xf numFmtId="0" fontId="15" fillId="2" borderId="83" xfId="0" applyFont="1" applyFill="1" applyBorder="1" applyAlignment="1">
      <alignment vertical="top" wrapText="1"/>
    </xf>
    <xf numFmtId="0" fontId="15" fillId="11" borderId="88" xfId="0" applyFont="1" applyFill="1" applyBorder="1" applyAlignment="1">
      <alignment vertical="top" wrapText="1"/>
    </xf>
    <xf numFmtId="0" fontId="15" fillId="11" borderId="82" xfId="0" applyFont="1" applyFill="1" applyBorder="1" applyAlignment="1">
      <alignment vertical="top" wrapText="1"/>
    </xf>
    <xf numFmtId="0" fontId="14" fillId="0" borderId="82" xfId="0" applyFont="1" applyBorder="1"/>
    <xf numFmtId="0" fontId="19" fillId="0" borderId="97" xfId="0" applyFont="1" applyBorder="1" applyAlignment="1">
      <alignment vertical="center" wrapText="1"/>
    </xf>
    <xf numFmtId="0" fontId="15" fillId="2" borderId="0" xfId="0" applyFont="1" applyFill="1"/>
    <xf numFmtId="0" fontId="14" fillId="2" borderId="13" xfId="0" applyFont="1" applyFill="1" applyBorder="1" applyAlignment="1">
      <alignment vertical="top" wrapText="1"/>
    </xf>
    <xf numFmtId="0" fontId="15" fillId="2" borderId="6" xfId="0" applyFont="1" applyFill="1" applyBorder="1" applyAlignment="1">
      <alignment vertical="top" wrapText="1"/>
    </xf>
    <xf numFmtId="0" fontId="14" fillId="2" borderId="13" xfId="0" applyFont="1" applyFill="1" applyBorder="1" applyAlignment="1">
      <alignment horizontal="left" vertical="top" wrapText="1"/>
    </xf>
    <xf numFmtId="0" fontId="14" fillId="0" borderId="0" xfId="0" applyFont="1" applyAlignment="1">
      <alignment horizontal="left" vertical="top"/>
    </xf>
    <xf numFmtId="0" fontId="15" fillId="4" borderId="45" xfId="0" applyFont="1" applyFill="1" applyBorder="1" applyAlignment="1">
      <alignment vertical="top" wrapText="1"/>
    </xf>
    <xf numFmtId="0" fontId="15" fillId="4" borderId="45" xfId="0" applyFont="1" applyFill="1" applyBorder="1" applyAlignment="1">
      <alignment horizontal="left" vertical="top" wrapText="1" indent="3"/>
    </xf>
    <xf numFmtId="0" fontId="15" fillId="0" borderId="13" xfId="0" applyFont="1" applyBorder="1" applyAlignment="1">
      <alignment horizontal="left" vertical="top"/>
    </xf>
    <xf numFmtId="0" fontId="15" fillId="0" borderId="0" xfId="0" applyFont="1" applyBorder="1" applyAlignment="1">
      <alignment horizontal="left" vertical="top"/>
    </xf>
    <xf numFmtId="0" fontId="14" fillId="9" borderId="13" xfId="0" applyFont="1" applyFill="1" applyBorder="1" applyAlignment="1">
      <alignment horizontal="left" vertical="top" wrapText="1"/>
    </xf>
    <xf numFmtId="0" fontId="15" fillId="0" borderId="0" xfId="0" applyFont="1" applyBorder="1" applyAlignment="1">
      <alignment vertical="top" wrapText="1"/>
    </xf>
    <xf numFmtId="0" fontId="14" fillId="0" borderId="0" xfId="0" applyFont="1" applyBorder="1" applyAlignment="1">
      <alignment vertical="top" wrapText="1"/>
    </xf>
    <xf numFmtId="0" fontId="15" fillId="13" borderId="47" xfId="0" applyFont="1" applyFill="1" applyBorder="1" applyAlignment="1">
      <alignment horizontal="left" vertical="top"/>
    </xf>
    <xf numFmtId="0" fontId="15" fillId="3" borderId="48" xfId="0" applyFont="1" applyFill="1" applyBorder="1" applyAlignment="1">
      <alignment horizontal="left" vertical="top"/>
    </xf>
    <xf numFmtId="0" fontId="15" fillId="13" borderId="49" xfId="0" applyFont="1" applyFill="1" applyBorder="1" applyAlignment="1">
      <alignment horizontal="left" vertical="top"/>
    </xf>
    <xf numFmtId="0" fontId="15" fillId="2" borderId="82" xfId="0" applyFont="1" applyFill="1" applyBorder="1" applyAlignment="1">
      <alignment vertical="top"/>
    </xf>
    <xf numFmtId="0" fontId="15" fillId="3" borderId="89" xfId="0" applyFont="1" applyFill="1" applyBorder="1" applyAlignment="1">
      <alignment horizontal="left" vertical="top" wrapText="1" indent="3"/>
    </xf>
    <xf numFmtId="0" fontId="15" fillId="11" borderId="88" xfId="0" applyFont="1" applyFill="1" applyBorder="1" applyAlignment="1">
      <alignment vertical="top"/>
    </xf>
    <xf numFmtId="0" fontId="15" fillId="11" borderId="82" xfId="0" applyFont="1" applyFill="1" applyBorder="1" applyAlignment="1">
      <alignment vertical="top"/>
    </xf>
    <xf numFmtId="0" fontId="14" fillId="2" borderId="83" xfId="0" applyFont="1" applyFill="1" applyBorder="1" applyAlignment="1">
      <alignment vertical="top"/>
    </xf>
    <xf numFmtId="166" fontId="14" fillId="5" borderId="4" xfId="0" applyNumberFormat="1" applyFont="1" applyFill="1" applyBorder="1"/>
    <xf numFmtId="166" fontId="16" fillId="5" borderId="4" xfId="2" applyNumberFormat="1" applyFont="1" applyFill="1" applyBorder="1"/>
    <xf numFmtId="166" fontId="16" fillId="5" borderId="4" xfId="0" applyNumberFormat="1" applyFont="1" applyFill="1" applyBorder="1"/>
    <xf numFmtId="9" fontId="16" fillId="5" borderId="4" xfId="2" applyFont="1" applyFill="1" applyBorder="1"/>
    <xf numFmtId="164" fontId="17" fillId="5" borderId="4" xfId="0" applyNumberFormat="1" applyFont="1" applyFill="1" applyBorder="1"/>
    <xf numFmtId="164" fontId="17" fillId="5" borderId="35" xfId="0" applyNumberFormat="1" applyFont="1" applyFill="1" applyBorder="1"/>
    <xf numFmtId="0" fontId="14" fillId="17" borderId="29" xfId="0" applyFont="1" applyFill="1" applyBorder="1" applyAlignment="1">
      <alignment horizontal="left"/>
    </xf>
    <xf numFmtId="165" fontId="14" fillId="17" borderId="4" xfId="0" applyNumberFormat="1" applyFont="1" applyFill="1" applyBorder="1"/>
    <xf numFmtId="0" fontId="26" fillId="0" borderId="0" xfId="3" applyFont="1"/>
    <xf numFmtId="0" fontId="26" fillId="0" borderId="0" xfId="3" applyFont="1" applyAlignment="1">
      <alignment horizontal="right"/>
    </xf>
    <xf numFmtId="0" fontId="27" fillId="0" borderId="0" xfId="3" applyFont="1"/>
    <xf numFmtId="170" fontId="28" fillId="0" borderId="0" xfId="3" applyNumberFormat="1" applyFont="1" applyAlignment="1">
      <alignment horizontal="right"/>
    </xf>
    <xf numFmtId="0" fontId="26" fillId="0" borderId="0" xfId="3" applyFont="1" applyAlignment="1">
      <alignment horizontal="left"/>
    </xf>
    <xf numFmtId="0" fontId="26" fillId="6" borderId="49" xfId="3" applyFont="1" applyFill="1" applyBorder="1"/>
    <xf numFmtId="0" fontId="26" fillId="6" borderId="46" xfId="3" applyFont="1" applyFill="1" applyBorder="1"/>
    <xf numFmtId="0" fontId="31" fillId="4" borderId="101" xfId="3" applyFont="1" applyFill="1" applyBorder="1"/>
    <xf numFmtId="0" fontId="31" fillId="4" borderId="83" xfId="3" applyFont="1" applyFill="1" applyBorder="1" applyAlignment="1">
      <alignment horizontal="right"/>
    </xf>
    <xf numFmtId="0" fontId="31" fillId="4" borderId="102" xfId="3" applyFont="1" applyFill="1" applyBorder="1" applyAlignment="1">
      <alignment horizontal="left" wrapText="1"/>
    </xf>
    <xf numFmtId="0" fontId="31" fillId="4" borderId="103" xfId="3" applyFont="1" applyFill="1" applyBorder="1"/>
    <xf numFmtId="0" fontId="31" fillId="4" borderId="83" xfId="3" applyFont="1" applyFill="1" applyBorder="1" applyAlignment="1">
      <alignment horizontal="left" wrapText="1"/>
    </xf>
    <xf numFmtId="0" fontId="31" fillId="4" borderId="97" xfId="3" applyFont="1" applyFill="1" applyBorder="1" applyAlignment="1">
      <alignment wrapText="1"/>
    </xf>
    <xf numFmtId="0" fontId="31" fillId="4" borderId="104" xfId="3" applyFont="1" applyFill="1" applyBorder="1" applyAlignment="1">
      <alignment wrapText="1"/>
    </xf>
    <xf numFmtId="0" fontId="28" fillId="0" borderId="0" xfId="3" applyFont="1"/>
    <xf numFmtId="0" fontId="31" fillId="18" borderId="81" xfId="3" applyFont="1" applyFill="1" applyBorder="1"/>
    <xf numFmtId="0" fontId="32" fillId="6" borderId="105" xfId="3" applyFont="1" applyFill="1" applyBorder="1"/>
    <xf numFmtId="0" fontId="32" fillId="19" borderId="106" xfId="3" applyFont="1" applyFill="1" applyBorder="1" applyAlignment="1">
      <alignment horizontal="right"/>
    </xf>
    <xf numFmtId="0" fontId="32" fillId="6" borderId="107" xfId="3" applyFont="1" applyFill="1" applyBorder="1" applyAlignment="1">
      <alignment wrapText="1"/>
    </xf>
    <xf numFmtId="168" fontId="32" fillId="6" borderId="82" xfId="3" applyNumberFormat="1" applyFont="1" applyFill="1" applyBorder="1" applyAlignment="1">
      <alignment horizontal="right"/>
    </xf>
    <xf numFmtId="0" fontId="32" fillId="6" borderId="107" xfId="3" applyFont="1" applyFill="1" applyBorder="1"/>
    <xf numFmtId="0" fontId="32" fillId="6" borderId="27" xfId="3" applyFont="1" applyFill="1" applyBorder="1"/>
    <xf numFmtId="0" fontId="30" fillId="20" borderId="102" xfId="3" applyFont="1" applyFill="1" applyBorder="1"/>
    <xf numFmtId="15" fontId="32" fillId="20" borderId="108" xfId="3" applyNumberFormat="1" applyFont="1" applyFill="1" applyBorder="1" applyAlignment="1">
      <alignment horizontal="right"/>
    </xf>
    <xf numFmtId="0" fontId="32" fillId="20" borderId="102" xfId="3" applyFont="1" applyFill="1" applyBorder="1"/>
    <xf numFmtId="0" fontId="32" fillId="20" borderId="83" xfId="3" applyFont="1" applyFill="1" applyBorder="1" applyAlignment="1">
      <alignment horizontal="right"/>
    </xf>
    <xf numFmtId="0" fontId="32" fillId="20" borderId="109" xfId="3" applyFont="1" applyFill="1" applyBorder="1"/>
    <xf numFmtId="0" fontId="32" fillId="20" borderId="101" xfId="3" applyFont="1" applyFill="1" applyBorder="1"/>
    <xf numFmtId="0" fontId="32" fillId="20" borderId="104" xfId="3" applyFont="1" applyFill="1" applyBorder="1"/>
    <xf numFmtId="0" fontId="32" fillId="0" borderId="0" xfId="3" applyFont="1"/>
    <xf numFmtId="0" fontId="32" fillId="0" borderId="0" xfId="3" applyFont="1" applyAlignment="1">
      <alignment horizontal="left" vertical="center"/>
    </xf>
    <xf numFmtId="0" fontId="32" fillId="0" borderId="0" xfId="3" applyFont="1" applyAlignment="1">
      <alignment horizontal="right" vertical="center"/>
    </xf>
    <xf numFmtId="15" fontId="32" fillId="20" borderId="95" xfId="3" applyNumberFormat="1" applyFont="1" applyFill="1" applyBorder="1" applyAlignment="1">
      <alignment horizontal="right"/>
    </xf>
    <xf numFmtId="0" fontId="32" fillId="20" borderId="83" xfId="3" applyFont="1" applyFill="1" applyBorder="1"/>
    <xf numFmtId="0" fontId="32" fillId="6" borderId="87" xfId="3" applyFont="1" applyFill="1" applyBorder="1"/>
    <xf numFmtId="0" fontId="32" fillId="6" borderId="82" xfId="3" applyFont="1" applyFill="1" applyBorder="1"/>
    <xf numFmtId="0" fontId="32" fillId="16" borderId="82" xfId="0" applyFont="1" applyFill="1" applyBorder="1"/>
    <xf numFmtId="0" fontId="32" fillId="19" borderId="110" xfId="3" applyFont="1" applyFill="1" applyBorder="1" applyAlignment="1">
      <alignment horizontal="right"/>
    </xf>
    <xf numFmtId="0" fontId="32" fillId="16" borderId="111" xfId="0" applyFont="1" applyFill="1" applyBorder="1"/>
    <xf numFmtId="0" fontId="32" fillId="6" borderId="112" xfId="3" applyFont="1" applyFill="1" applyBorder="1" applyAlignment="1">
      <alignment wrapText="1"/>
    </xf>
    <xf numFmtId="0" fontId="31" fillId="18" borderId="98" xfId="3" applyFont="1" applyFill="1" applyBorder="1"/>
    <xf numFmtId="0" fontId="32" fillId="19" borderId="113" xfId="3" applyFont="1" applyFill="1" applyBorder="1" applyAlignment="1">
      <alignment horizontal="right"/>
    </xf>
    <xf numFmtId="0" fontId="32" fillId="6" borderId="0" xfId="3" applyFont="1" applyFill="1"/>
    <xf numFmtId="15" fontId="32" fillId="20" borderId="96" xfId="3" applyNumberFormat="1" applyFont="1" applyFill="1" applyBorder="1" applyAlignment="1">
      <alignment horizontal="right"/>
    </xf>
    <xf numFmtId="0" fontId="30" fillId="20" borderId="115" xfId="3" applyFont="1" applyFill="1" applyBorder="1"/>
    <xf numFmtId="0" fontId="32" fillId="20" borderId="94" xfId="3" applyFont="1" applyFill="1" applyBorder="1"/>
    <xf numFmtId="0" fontId="32" fillId="20" borderId="103" xfId="3" applyFont="1" applyFill="1" applyBorder="1"/>
    <xf numFmtId="0" fontId="32" fillId="20" borderId="66" xfId="3" applyFont="1" applyFill="1" applyBorder="1"/>
    <xf numFmtId="0" fontId="32" fillId="20" borderId="114" xfId="3" applyFont="1" applyFill="1" applyBorder="1"/>
    <xf numFmtId="0" fontId="30" fillId="21" borderId="83" xfId="3" applyFont="1" applyFill="1" applyBorder="1"/>
    <xf numFmtId="0" fontId="32" fillId="19" borderId="116" xfId="3" applyFont="1" applyFill="1" applyBorder="1" applyAlignment="1">
      <alignment horizontal="right"/>
    </xf>
    <xf numFmtId="0" fontId="32" fillId="18" borderId="98" xfId="3" applyFont="1" applyFill="1" applyBorder="1"/>
    <xf numFmtId="168" fontId="32" fillId="6" borderId="87" xfId="3" applyNumberFormat="1" applyFont="1" applyFill="1" applyBorder="1" applyAlignment="1">
      <alignment horizontal="right"/>
    </xf>
    <xf numFmtId="0" fontId="32" fillId="19" borderId="27" xfId="3" applyFont="1" applyFill="1" applyBorder="1" applyAlignment="1">
      <alignment horizontal="right"/>
    </xf>
    <xf numFmtId="0" fontId="32" fillId="18" borderId="81" xfId="3" applyFont="1" applyFill="1" applyBorder="1"/>
    <xf numFmtId="0" fontId="32" fillId="6" borderId="70" xfId="3" applyFont="1" applyFill="1" applyBorder="1"/>
    <xf numFmtId="0" fontId="32" fillId="18" borderId="75" xfId="3" applyFont="1" applyFill="1" applyBorder="1"/>
    <xf numFmtId="0" fontId="30" fillId="20" borderId="117" xfId="3" applyFont="1" applyFill="1" applyBorder="1"/>
    <xf numFmtId="0" fontId="30" fillId="20" borderId="104" xfId="3" applyFont="1" applyFill="1" applyBorder="1"/>
    <xf numFmtId="0" fontId="32" fillId="20" borderId="97" xfId="3" applyFont="1" applyFill="1" applyBorder="1"/>
    <xf numFmtId="1" fontId="32" fillId="19" borderId="27" xfId="3" applyNumberFormat="1" applyFont="1" applyFill="1" applyBorder="1" applyAlignment="1">
      <alignment horizontal="right" vertical="center"/>
    </xf>
    <xf numFmtId="0" fontId="32" fillId="6" borderId="105" xfId="3" applyFont="1" applyFill="1" applyBorder="1" applyAlignment="1">
      <alignment horizontal="left" vertical="center"/>
    </xf>
    <xf numFmtId="0" fontId="32" fillId="16" borderId="118" xfId="0" applyFont="1" applyFill="1" applyBorder="1"/>
    <xf numFmtId="0" fontId="32" fillId="6" borderId="27" xfId="3" applyFont="1" applyFill="1" applyBorder="1" applyAlignment="1">
      <alignment horizontal="left"/>
    </xf>
    <xf numFmtId="0" fontId="32" fillId="20" borderId="98" xfId="3" applyFont="1" applyFill="1" applyBorder="1" applyAlignment="1">
      <alignment horizontal="right"/>
    </xf>
    <xf numFmtId="0" fontId="32" fillId="20" borderId="76" xfId="3" applyFont="1" applyFill="1" applyBorder="1"/>
    <xf numFmtId="0" fontId="32" fillId="20" borderId="98" xfId="3" applyFont="1" applyFill="1" applyBorder="1"/>
    <xf numFmtId="0" fontId="32" fillId="20" borderId="49" xfId="3" applyFont="1" applyFill="1" applyBorder="1"/>
    <xf numFmtId="0" fontId="32" fillId="20" borderId="120" xfId="3" applyFont="1" applyFill="1" applyBorder="1"/>
    <xf numFmtId="0" fontId="32" fillId="6" borderId="121" xfId="3" applyFont="1" applyFill="1" applyBorder="1"/>
    <xf numFmtId="0" fontId="32" fillId="16" borderId="122" xfId="0" applyFont="1" applyFill="1" applyBorder="1"/>
    <xf numFmtId="0" fontId="32" fillId="6" borderId="121" xfId="3" applyFont="1" applyFill="1" applyBorder="1" applyAlignment="1">
      <alignment wrapText="1"/>
    </xf>
    <xf numFmtId="0" fontId="32" fillId="6" borderId="116" xfId="3" applyFont="1" applyFill="1" applyBorder="1"/>
    <xf numFmtId="0" fontId="32" fillId="6" borderId="106" xfId="3" applyFont="1" applyFill="1" applyBorder="1"/>
    <xf numFmtId="0" fontId="32" fillId="6" borderId="0" xfId="3" applyFont="1" applyFill="1" applyBorder="1"/>
    <xf numFmtId="0" fontId="32" fillId="19" borderId="81" xfId="3" applyFont="1" applyFill="1" applyBorder="1" applyAlignment="1">
      <alignment horizontal="right"/>
    </xf>
    <xf numFmtId="0" fontId="32" fillId="16" borderId="81" xfId="0" applyFont="1" applyFill="1" applyBorder="1"/>
    <xf numFmtId="0" fontId="32" fillId="6" borderId="0" xfId="3" applyFont="1" applyFill="1" applyBorder="1" applyAlignment="1">
      <alignment wrapText="1"/>
    </xf>
    <xf numFmtId="0" fontId="32" fillId="18" borderId="32" xfId="3" applyFont="1" applyFill="1" applyBorder="1"/>
    <xf numFmtId="15" fontId="32" fillId="20" borderId="79" xfId="3" applyNumberFormat="1" applyFont="1" applyFill="1" applyBorder="1" applyAlignment="1">
      <alignment horizontal="right"/>
    </xf>
    <xf numFmtId="15" fontId="32" fillId="20" borderId="123" xfId="3" applyNumberFormat="1" applyFont="1" applyFill="1" applyBorder="1" applyAlignment="1">
      <alignment horizontal="right"/>
    </xf>
    <xf numFmtId="15" fontId="32" fillId="20" borderId="124" xfId="3" applyNumberFormat="1" applyFont="1" applyFill="1" applyBorder="1" applyAlignment="1">
      <alignment horizontal="right"/>
    </xf>
    <xf numFmtId="15" fontId="32" fillId="20" borderId="83" xfId="3" applyNumberFormat="1" applyFont="1" applyFill="1" applyBorder="1" applyAlignment="1">
      <alignment horizontal="right"/>
    </xf>
    <xf numFmtId="0" fontId="32" fillId="6" borderId="27" xfId="3" applyFont="1" applyFill="1" applyBorder="1" applyAlignment="1">
      <alignment horizontal="left" vertical="center"/>
    </xf>
    <xf numFmtId="15" fontId="32" fillId="20" borderId="98" xfId="3" applyNumberFormat="1" applyFont="1" applyFill="1" applyBorder="1" applyAlignment="1">
      <alignment horizontal="right"/>
    </xf>
    <xf numFmtId="0" fontId="30" fillId="20" borderId="98" xfId="3" applyFont="1" applyFill="1" applyBorder="1"/>
    <xf numFmtId="0" fontId="32" fillId="6" borderId="71" xfId="3" applyFont="1" applyFill="1" applyBorder="1"/>
    <xf numFmtId="0" fontId="30" fillId="20" borderId="109" xfId="3" applyFont="1" applyFill="1" applyBorder="1"/>
    <xf numFmtId="0" fontId="30" fillId="20" borderId="120" xfId="3" applyFont="1" applyFill="1" applyBorder="1"/>
    <xf numFmtId="1" fontId="32" fillId="19" borderId="119" xfId="3" applyNumberFormat="1" applyFont="1" applyFill="1" applyBorder="1" applyAlignment="1">
      <alignment horizontal="right" vertical="center"/>
    </xf>
    <xf numFmtId="1" fontId="32" fillId="19" borderId="29" xfId="3" applyNumberFormat="1" applyFont="1" applyFill="1" applyBorder="1" applyAlignment="1">
      <alignment horizontal="right" vertical="center"/>
    </xf>
    <xf numFmtId="1" fontId="32" fillId="19" borderId="59" xfId="3" applyNumberFormat="1" applyFont="1" applyFill="1" applyBorder="1" applyAlignment="1">
      <alignment horizontal="right" vertical="center"/>
    </xf>
    <xf numFmtId="0" fontId="32" fillId="6" borderId="34" xfId="3" applyFont="1" applyFill="1" applyBorder="1"/>
    <xf numFmtId="0" fontId="32" fillId="19" borderId="121" xfId="3" applyFont="1" applyFill="1" applyBorder="1" applyAlignment="1">
      <alignment horizontal="right"/>
    </xf>
    <xf numFmtId="0" fontId="32" fillId="19" borderId="105" xfId="3" applyFont="1" applyFill="1" applyBorder="1" applyAlignment="1">
      <alignment horizontal="right"/>
    </xf>
    <xf numFmtId="168" fontId="32" fillId="6" borderId="116" xfId="3" applyNumberFormat="1" applyFont="1" applyFill="1" applyBorder="1" applyAlignment="1">
      <alignment horizontal="right"/>
    </xf>
    <xf numFmtId="168" fontId="32" fillId="6" borderId="27" xfId="3" applyNumberFormat="1" applyFont="1" applyFill="1" applyBorder="1" applyAlignment="1">
      <alignment horizontal="right"/>
    </xf>
    <xf numFmtId="168" fontId="32" fillId="6" borderId="34" xfId="3" applyNumberFormat="1" applyFont="1" applyFill="1" applyBorder="1" applyAlignment="1">
      <alignment horizontal="right"/>
    </xf>
    <xf numFmtId="0" fontId="32" fillId="19" borderId="34" xfId="3" applyFont="1" applyFill="1" applyBorder="1" applyAlignment="1">
      <alignment horizontal="right"/>
    </xf>
    <xf numFmtId="0" fontId="32" fillId="19" borderId="125" xfId="3" applyFont="1" applyFill="1" applyBorder="1" applyAlignment="1">
      <alignment horizontal="right"/>
    </xf>
    <xf numFmtId="0" fontId="32" fillId="6" borderId="46" xfId="3" applyFont="1" applyFill="1" applyBorder="1" applyAlignment="1">
      <alignment wrapText="1"/>
    </xf>
    <xf numFmtId="0" fontId="32" fillId="6" borderId="126" xfId="3" applyFont="1" applyFill="1" applyBorder="1"/>
    <xf numFmtId="168" fontId="32" fillId="6" borderId="11" xfId="3" applyNumberFormat="1" applyFont="1" applyFill="1" applyBorder="1" applyAlignment="1">
      <alignment horizontal="right"/>
    </xf>
    <xf numFmtId="0" fontId="32" fillId="16" borderId="11" xfId="0" applyFont="1" applyFill="1" applyBorder="1"/>
    <xf numFmtId="0" fontId="32" fillId="19" borderId="112" xfId="3" applyFont="1" applyFill="1" applyBorder="1" applyAlignment="1">
      <alignment horizontal="right"/>
    </xf>
    <xf numFmtId="0" fontId="30" fillId="20" borderId="108" xfId="3" applyFont="1" applyFill="1" applyBorder="1"/>
    <xf numFmtId="0" fontId="30" fillId="20" borderId="101" xfId="3" applyFont="1" applyFill="1" applyBorder="1"/>
    <xf numFmtId="0" fontId="30" fillId="6" borderId="11" xfId="3" applyFont="1" applyFill="1" applyBorder="1"/>
    <xf numFmtId="0" fontId="30" fillId="20" borderId="83" xfId="3" applyFont="1" applyFill="1" applyBorder="1" applyAlignment="1">
      <alignment horizontal="left"/>
    </xf>
    <xf numFmtId="15" fontId="32" fillId="6" borderId="27" xfId="3" applyNumberFormat="1" applyFont="1" applyFill="1" applyBorder="1" applyAlignment="1">
      <alignment horizontal="right"/>
    </xf>
    <xf numFmtId="15" fontId="32" fillId="6" borderId="34" xfId="3" applyNumberFormat="1" applyFont="1" applyFill="1" applyBorder="1" applyAlignment="1">
      <alignment horizontal="right"/>
    </xf>
    <xf numFmtId="0" fontId="32" fillId="16" borderId="116" xfId="0" applyFont="1" applyFill="1" applyBorder="1"/>
    <xf numFmtId="0" fontId="33" fillId="0" borderId="27" xfId="0" applyFont="1" applyBorder="1"/>
    <xf numFmtId="0" fontId="33" fillId="0" borderId="34" xfId="0" applyFont="1" applyBorder="1"/>
    <xf numFmtId="0" fontId="32" fillId="6" borderId="110" xfId="3" applyFont="1" applyFill="1" applyBorder="1"/>
    <xf numFmtId="0" fontId="32" fillId="6" borderId="113" xfId="3" applyFont="1" applyFill="1" applyBorder="1"/>
    <xf numFmtId="0" fontId="32" fillId="16" borderId="27" xfId="0" applyFont="1" applyFill="1" applyBorder="1"/>
    <xf numFmtId="0" fontId="32" fillId="16" borderId="127" xfId="0" applyFont="1" applyFill="1" applyBorder="1"/>
    <xf numFmtId="0" fontId="32" fillId="16" borderId="128" xfId="0" applyFont="1" applyFill="1" applyBorder="1"/>
    <xf numFmtId="0" fontId="32" fillId="22" borderId="122" xfId="0" applyFont="1" applyFill="1" applyBorder="1"/>
    <xf numFmtId="0" fontId="32" fillId="22" borderId="118" xfId="0" applyFont="1" applyFill="1" applyBorder="1"/>
    <xf numFmtId="0" fontId="32" fillId="22" borderId="128" xfId="0" applyFont="1" applyFill="1" applyBorder="1"/>
    <xf numFmtId="168" fontId="15" fillId="5" borderId="0" xfId="1" applyNumberFormat="1" applyFont="1" applyFill="1" applyAlignment="1"/>
    <xf numFmtId="0" fontId="31" fillId="4" borderId="83" xfId="3" applyFont="1" applyFill="1" applyBorder="1"/>
    <xf numFmtId="0" fontId="32" fillId="22" borderId="75" xfId="0" applyFont="1" applyFill="1" applyBorder="1"/>
    <xf numFmtId="0" fontId="30" fillId="23" borderId="83" xfId="3" applyFont="1" applyFill="1" applyBorder="1"/>
    <xf numFmtId="171" fontId="32" fillId="6" borderId="121" xfId="3" applyNumberFormat="1" applyFont="1" applyFill="1" applyBorder="1" applyAlignment="1">
      <alignment horizontal="right"/>
    </xf>
    <xf numFmtId="171" fontId="32" fillId="6" borderId="105" xfId="3" applyNumberFormat="1" applyFont="1" applyFill="1" applyBorder="1" applyAlignment="1">
      <alignment horizontal="right"/>
    </xf>
    <xf numFmtId="171" fontId="32" fillId="6" borderId="0" xfId="3" applyNumberFormat="1" applyFont="1" applyFill="1" applyBorder="1" applyAlignment="1">
      <alignment horizontal="right"/>
    </xf>
    <xf numFmtId="0" fontId="32" fillId="16" borderId="75" xfId="0" applyFont="1" applyFill="1" applyBorder="1"/>
    <xf numFmtId="0" fontId="32" fillId="16" borderId="107" xfId="0" applyFont="1" applyFill="1" applyBorder="1"/>
    <xf numFmtId="0" fontId="32" fillId="16" borderId="105" xfId="0" applyFont="1" applyFill="1" applyBorder="1"/>
    <xf numFmtId="0" fontId="32" fillId="16" borderId="129" xfId="0" applyFont="1" applyFill="1" applyBorder="1"/>
    <xf numFmtId="0" fontId="32" fillId="6" borderId="129" xfId="3" applyFont="1" applyFill="1" applyBorder="1"/>
    <xf numFmtId="0" fontId="32" fillId="6" borderId="75" xfId="3" applyFont="1" applyFill="1" applyBorder="1"/>
    <xf numFmtId="0" fontId="30" fillId="23" borderId="79" xfId="3" applyFont="1" applyFill="1" applyBorder="1"/>
    <xf numFmtId="0" fontId="31" fillId="18" borderId="75" xfId="3" applyFont="1" applyFill="1" applyBorder="1"/>
    <xf numFmtId="168" fontId="32" fillId="6" borderId="110" xfId="3" applyNumberFormat="1" applyFont="1" applyFill="1" applyBorder="1" applyAlignment="1">
      <alignment horizontal="right"/>
    </xf>
    <xf numFmtId="168" fontId="32" fillId="6" borderId="113" xfId="3" applyNumberFormat="1" applyFont="1" applyFill="1" applyBorder="1" applyAlignment="1">
      <alignment horizontal="right"/>
    </xf>
    <xf numFmtId="0" fontId="32" fillId="6" borderId="34" xfId="3" applyFont="1" applyFill="1" applyBorder="1" applyAlignment="1">
      <alignment horizontal="left" vertical="center"/>
    </xf>
    <xf numFmtId="0" fontId="21" fillId="0" borderId="77" xfId="0" applyFont="1" applyBorder="1" applyAlignment="1">
      <alignment vertical="center" wrapText="1"/>
    </xf>
    <xf numFmtId="0" fontId="21" fillId="0" borderId="2" xfId="0" applyFont="1" applyBorder="1" applyAlignment="1">
      <alignment vertical="center" wrapText="1"/>
    </xf>
    <xf numFmtId="0" fontId="18" fillId="0" borderId="77" xfId="0" applyFont="1" applyBorder="1" applyAlignment="1">
      <alignment vertical="center" wrapText="1"/>
    </xf>
    <xf numFmtId="0" fontId="18" fillId="0" borderId="2" xfId="0" applyFont="1" applyBorder="1" applyAlignment="1">
      <alignment vertical="center" wrapText="1"/>
    </xf>
    <xf numFmtId="0" fontId="18" fillId="0" borderId="81" xfId="0" applyFont="1" applyBorder="1" applyAlignment="1">
      <alignment vertical="center" wrapText="1"/>
    </xf>
    <xf numFmtId="0" fontId="29" fillId="6" borderId="93" xfId="3" applyFont="1" applyFill="1" applyBorder="1" applyAlignment="1">
      <alignment wrapText="1"/>
    </xf>
    <xf numFmtId="0" fontId="29" fillId="6" borderId="91" xfId="3" applyFont="1" applyFill="1" applyBorder="1"/>
    <xf numFmtId="0" fontId="29" fillId="6" borderId="99" xfId="3" applyFont="1" applyFill="1" applyBorder="1"/>
    <xf numFmtId="0" fontId="29" fillId="6" borderId="88" xfId="3" applyFont="1" applyFill="1" applyBorder="1"/>
    <xf numFmtId="0" fontId="27" fillId="6" borderId="94" xfId="3" applyFont="1" applyFill="1" applyBorder="1" applyAlignment="1">
      <alignment horizontal="left"/>
    </xf>
    <xf numFmtId="0" fontId="26" fillId="6" borderId="65" xfId="3" applyFont="1" applyFill="1" applyBorder="1" applyAlignment="1">
      <alignment horizontal="left"/>
    </xf>
    <xf numFmtId="0" fontId="29" fillId="6" borderId="91" xfId="3" applyFont="1" applyFill="1" applyBorder="1" applyAlignment="1">
      <alignment wrapText="1"/>
    </xf>
    <xf numFmtId="0" fontId="29" fillId="6" borderId="92" xfId="3" applyFont="1" applyFill="1" applyBorder="1" applyAlignment="1">
      <alignment wrapText="1"/>
    </xf>
    <xf numFmtId="0" fontId="29" fillId="6" borderId="88" xfId="3" applyFont="1" applyFill="1" applyBorder="1" applyAlignment="1">
      <alignment wrapText="1"/>
    </xf>
    <xf numFmtId="0" fontId="29" fillId="6" borderId="100" xfId="3" applyFont="1" applyFill="1" applyBorder="1" applyAlignment="1">
      <alignment wrapText="1"/>
    </xf>
  </cellXfs>
  <cellStyles count="4">
    <cellStyle name="Comma" xfId="1" builtinId="3"/>
    <cellStyle name="Normal" xfId="0" builtinId="0"/>
    <cellStyle name="Normal 2" xfId="3"/>
    <cellStyle name="Percent" xfId="2" builtinId="5"/>
  </cellStyles>
  <dxfs count="316"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rgb="FF7030A0"/>
      </font>
    </dxf>
    <dxf>
      <font>
        <color theme="9" tint="-0.499984740745262"/>
      </font>
    </dxf>
    <dxf>
      <font>
        <color rgb="FFFF0000"/>
      </font>
    </dxf>
    <dxf>
      <font>
        <color rgb="FF7030A0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rgb="FF7030A0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rgb="FF7030A0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rgb="FF7030A0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rgb="FF7030A0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rgb="FF7030A0"/>
      </font>
    </dxf>
    <dxf>
      <font>
        <color rgb="FFFF0000"/>
      </font>
    </dxf>
    <dxf>
      <font>
        <b/>
        <i val="0"/>
        <color rgb="FFC00000"/>
      </font>
    </dxf>
    <dxf>
      <font>
        <color rgb="FF7030A0"/>
      </font>
    </dxf>
    <dxf>
      <font>
        <b/>
        <i val="0"/>
        <color rgb="FFC00000"/>
      </font>
    </dxf>
    <dxf>
      <font>
        <color rgb="FF7030A0"/>
      </font>
    </dxf>
    <dxf>
      <font>
        <b/>
        <i val="0"/>
        <color rgb="FFC00000"/>
      </font>
    </dxf>
    <dxf>
      <font>
        <color rgb="FF7030A0"/>
      </font>
    </dxf>
    <dxf>
      <font>
        <color theme="9" tint="-0.499984740745262"/>
      </font>
    </dxf>
    <dxf>
      <font>
        <color rgb="FFFF0000"/>
      </font>
    </dxf>
    <dxf>
      <font>
        <color rgb="FF7030A0"/>
      </font>
    </dxf>
    <dxf>
      <font>
        <b/>
        <i val="0"/>
        <color rgb="FFC00000"/>
      </font>
    </dxf>
    <dxf>
      <font>
        <color rgb="FF7030A0"/>
      </font>
    </dxf>
    <dxf>
      <font>
        <b/>
        <i val="0"/>
        <color rgb="FFC00000"/>
      </font>
    </dxf>
    <dxf>
      <font>
        <color rgb="FF7030A0"/>
      </font>
    </dxf>
    <dxf>
      <font>
        <b/>
        <i val="0"/>
        <color rgb="FFC00000"/>
      </font>
    </dxf>
    <dxf>
      <font>
        <color rgb="FF7030A0"/>
      </font>
    </dxf>
    <dxf>
      <font>
        <color theme="9" tint="-0.499984740745262"/>
      </font>
    </dxf>
    <dxf>
      <font>
        <color rgb="FFFF0000"/>
      </font>
    </dxf>
    <dxf>
      <font>
        <color rgb="FF7030A0"/>
      </font>
    </dxf>
    <dxf>
      <font>
        <b/>
        <i val="0"/>
        <color rgb="FFC00000"/>
      </font>
    </dxf>
    <dxf>
      <font>
        <color rgb="FF7030A0"/>
      </font>
    </dxf>
    <dxf>
      <font>
        <color theme="9" tint="-0.499984740745262"/>
      </font>
    </dxf>
    <dxf>
      <font>
        <color rgb="FFFF0000"/>
      </font>
    </dxf>
    <dxf>
      <font>
        <color rgb="FF7030A0"/>
      </font>
    </dxf>
    <dxf>
      <font>
        <b/>
        <i val="0"/>
        <color rgb="FFC00000"/>
      </font>
    </dxf>
    <dxf>
      <font>
        <color rgb="FF7030A0"/>
      </font>
    </dxf>
    <dxf>
      <font>
        <b/>
        <i val="0"/>
        <color rgb="FFC00000"/>
      </font>
    </dxf>
    <dxf>
      <font>
        <color rgb="FF7030A0"/>
      </font>
    </dxf>
    <dxf>
      <font>
        <b/>
        <i val="0"/>
        <color rgb="FFC00000"/>
      </font>
    </dxf>
    <dxf>
      <font>
        <color rgb="FF7030A0"/>
      </font>
    </dxf>
    <dxf>
      <font>
        <color theme="9" tint="-0.499984740745262"/>
      </font>
    </dxf>
    <dxf>
      <font>
        <color rgb="FFFF0000"/>
      </font>
    </dxf>
    <dxf>
      <font>
        <color rgb="FF7030A0"/>
      </font>
    </dxf>
    <dxf>
      <font>
        <b/>
        <i val="0"/>
        <color rgb="FFC00000"/>
      </font>
    </dxf>
    <dxf>
      <font>
        <color rgb="FF7030A0"/>
      </font>
    </dxf>
    <dxf>
      <font>
        <color theme="9" tint="-0.499984740745262"/>
      </font>
    </dxf>
    <dxf>
      <font>
        <color rgb="FFFF0000"/>
      </font>
    </dxf>
    <dxf>
      <font>
        <color rgb="FF7030A0"/>
      </font>
    </dxf>
    <dxf>
      <font>
        <color theme="9" tint="-0.499984740745262"/>
      </font>
    </dxf>
    <dxf>
      <font>
        <color rgb="FFFF0000"/>
      </font>
    </dxf>
    <dxf>
      <font>
        <color rgb="FF7030A0"/>
      </font>
    </dxf>
    <dxf>
      <font>
        <color rgb="FFFF0000"/>
      </font>
    </dxf>
    <dxf>
      <font>
        <b/>
        <i val="0"/>
        <color rgb="FFC00000"/>
      </font>
    </dxf>
    <dxf>
      <font>
        <color rgb="FF7030A0"/>
      </font>
    </dxf>
    <dxf>
      <font>
        <color theme="9" tint="-0.499984740745262"/>
      </font>
    </dxf>
    <dxf>
      <font>
        <color rgb="FFFF0000"/>
      </font>
    </dxf>
    <dxf>
      <font>
        <color rgb="FF7030A0"/>
      </font>
    </dxf>
    <dxf>
      <font>
        <b/>
        <i val="0"/>
        <color rgb="FFC00000"/>
      </font>
    </dxf>
    <dxf>
      <font>
        <color rgb="FF7030A0"/>
      </font>
    </dxf>
    <dxf>
      <font>
        <b/>
        <i val="0"/>
        <color rgb="FFC00000"/>
      </font>
    </dxf>
    <dxf>
      <font>
        <color rgb="FF7030A0"/>
      </font>
    </dxf>
    <dxf>
      <font>
        <color theme="9" tint="-0.499984740745262"/>
      </font>
    </dxf>
    <dxf>
      <font>
        <color rgb="FFFF0000"/>
      </font>
    </dxf>
    <dxf>
      <font>
        <color rgb="FF7030A0"/>
      </font>
    </dxf>
    <dxf>
      <font>
        <b/>
        <i val="0"/>
        <color rgb="FFC00000"/>
      </font>
    </dxf>
    <dxf>
      <font>
        <color rgb="FF7030A0"/>
      </font>
    </dxf>
    <dxf>
      <font>
        <b/>
        <i val="0"/>
        <color rgb="FFC00000"/>
      </font>
    </dxf>
    <dxf>
      <font>
        <color rgb="FF7030A0"/>
      </font>
    </dxf>
    <dxf>
      <font>
        <color theme="9" tint="-0.499984740745262"/>
      </font>
    </dxf>
    <dxf>
      <font>
        <color rgb="FFFF0000"/>
      </font>
    </dxf>
    <dxf>
      <font>
        <color rgb="FF7030A0"/>
      </font>
    </dxf>
    <dxf>
      <font>
        <b/>
        <i val="0"/>
        <color rgb="FFC00000"/>
      </font>
    </dxf>
    <dxf>
      <font>
        <color rgb="FF7030A0"/>
      </font>
    </dxf>
    <dxf>
      <font>
        <color theme="9" tint="-0.499984740745262"/>
      </font>
    </dxf>
    <dxf>
      <font>
        <color rgb="FFFF0000"/>
      </font>
    </dxf>
    <dxf>
      <font>
        <color rgb="FF7030A0"/>
      </font>
    </dxf>
    <dxf>
      <font>
        <b/>
        <i val="0"/>
        <color rgb="FFC00000"/>
      </font>
    </dxf>
    <dxf>
      <font>
        <color rgb="FF7030A0"/>
      </font>
    </dxf>
    <dxf>
      <font>
        <b/>
        <i val="0"/>
        <color rgb="FFC00000"/>
      </font>
    </dxf>
    <dxf>
      <font>
        <color rgb="FF7030A0"/>
      </font>
    </dxf>
    <dxf>
      <font>
        <color theme="9" tint="-0.499984740745262"/>
      </font>
    </dxf>
    <dxf>
      <font>
        <color rgb="FFFF0000"/>
      </font>
    </dxf>
    <dxf>
      <font>
        <color rgb="FF7030A0"/>
      </font>
    </dxf>
    <dxf>
      <font>
        <b/>
        <i val="0"/>
        <color rgb="FFC00000"/>
      </font>
    </dxf>
    <dxf>
      <font>
        <color rgb="FF7030A0"/>
      </font>
    </dxf>
    <dxf>
      <font>
        <color theme="9" tint="-0.499984740745262"/>
      </font>
    </dxf>
    <dxf>
      <font>
        <color rgb="FFFF0000"/>
      </font>
    </dxf>
    <dxf>
      <font>
        <color rgb="FF7030A0"/>
      </font>
    </dxf>
    <dxf>
      <font>
        <color theme="9" tint="-0.499984740745262"/>
      </font>
    </dxf>
    <dxf>
      <font>
        <color rgb="FFFF0000"/>
      </font>
    </dxf>
    <dxf>
      <font>
        <color rgb="FF7030A0"/>
      </font>
    </dxf>
    <dxf>
      <font>
        <color rgb="FFFF0000"/>
      </font>
    </dxf>
    <dxf>
      <font>
        <b/>
        <i val="0"/>
        <color rgb="FFC00000"/>
      </font>
    </dxf>
    <dxf>
      <font>
        <color rgb="FF7030A0"/>
      </font>
    </dxf>
    <dxf>
      <font>
        <color theme="9" tint="-0.499984740745262"/>
      </font>
    </dxf>
    <dxf>
      <font>
        <color rgb="FFFF0000"/>
      </font>
    </dxf>
    <dxf>
      <font>
        <color rgb="FF7030A0"/>
      </font>
    </dxf>
    <dxf>
      <font>
        <color theme="9" tint="-0.499984740745262"/>
      </font>
    </dxf>
    <dxf>
      <font>
        <color rgb="FFFF0000"/>
      </font>
    </dxf>
    <dxf>
      <font>
        <color rgb="FF7030A0"/>
      </font>
    </dxf>
    <dxf>
      <font>
        <color rgb="FFFF0000"/>
      </font>
    </dxf>
    <dxf>
      <font>
        <b/>
        <i val="0"/>
        <color rgb="FFC00000"/>
      </font>
    </dxf>
    <dxf>
      <font>
        <color rgb="FF7030A0"/>
      </font>
    </dxf>
    <dxf>
      <font>
        <color theme="9" tint="-0.499984740745262"/>
      </font>
    </dxf>
    <dxf>
      <font>
        <color rgb="FFFF0000"/>
      </font>
    </dxf>
    <dxf>
      <font>
        <color rgb="FF7030A0"/>
      </font>
    </dxf>
    <dxf>
      <font>
        <b/>
        <i val="0"/>
        <color rgb="FFC00000"/>
      </font>
    </dxf>
    <dxf>
      <font>
        <color rgb="FF7030A0"/>
      </font>
    </dxf>
    <dxf>
      <font>
        <color theme="9" tint="-0.499984740745262"/>
      </font>
    </dxf>
    <dxf>
      <font>
        <color rgb="FFFF0000"/>
      </font>
    </dxf>
    <dxf>
      <font>
        <color rgb="FF7030A0"/>
      </font>
    </dxf>
    <dxf>
      <font>
        <b/>
        <i val="0"/>
        <color rgb="FFC00000"/>
      </font>
    </dxf>
    <dxf>
      <font>
        <color rgb="FF7030A0"/>
      </font>
    </dxf>
    <dxf>
      <font>
        <color theme="9" tint="-0.499984740745262"/>
      </font>
    </dxf>
    <dxf>
      <font>
        <color rgb="FFFF0000"/>
      </font>
    </dxf>
    <dxf>
      <font>
        <color rgb="FF7030A0"/>
      </font>
    </dxf>
    <dxf>
      <font>
        <b/>
        <i val="0"/>
        <color rgb="FFC00000"/>
      </font>
    </dxf>
    <dxf>
      <font>
        <color rgb="FF7030A0"/>
      </font>
    </dxf>
    <dxf>
      <font>
        <color theme="9" tint="-0.499984740745262"/>
      </font>
    </dxf>
    <dxf>
      <font>
        <color rgb="FFFF0000"/>
      </font>
    </dxf>
    <dxf>
      <font>
        <color rgb="FF7030A0"/>
      </font>
    </dxf>
    <dxf>
      <font>
        <b/>
        <i val="0"/>
        <color rgb="FFC00000"/>
      </font>
    </dxf>
    <dxf>
      <font>
        <color rgb="FF7030A0"/>
      </font>
    </dxf>
    <dxf>
      <font>
        <color theme="9" tint="-0.499984740745262"/>
      </font>
    </dxf>
    <dxf>
      <font>
        <color rgb="FFFF0000"/>
      </font>
    </dxf>
    <dxf>
      <font>
        <color rgb="FF7030A0"/>
      </font>
    </dxf>
    <dxf>
      <font>
        <color theme="9" tint="-0.499984740745262"/>
      </font>
    </dxf>
    <dxf>
      <font>
        <color rgb="FFFF0000"/>
      </font>
    </dxf>
    <dxf>
      <font>
        <color rgb="FF7030A0"/>
      </font>
    </dxf>
    <dxf>
      <font>
        <color rgb="FFFF0000"/>
      </font>
    </dxf>
    <dxf>
      <font>
        <b/>
        <i val="0"/>
        <color rgb="FFC00000"/>
      </font>
    </dxf>
    <dxf>
      <font>
        <color theme="9" tint="-0.24994659260841701"/>
        <name val="Cambria"/>
        <scheme val="none"/>
      </font>
    </dxf>
    <dxf>
      <font>
        <b/>
        <i val="0"/>
        <color rgb="FFC00000"/>
      </font>
    </dxf>
    <dxf>
      <font>
        <color theme="9" tint="-0.24994659260841701"/>
        <name val="Cambria"/>
        <scheme val="none"/>
      </font>
    </dxf>
    <dxf>
      <font>
        <color theme="9" tint="-0.24994659260841701"/>
      </font>
    </dxf>
    <dxf>
      <font>
        <color theme="9" tint="-0.24994659260841701"/>
      </font>
    </dxf>
    <dxf>
      <font>
        <color theme="9" tint="-0.24994659260841701"/>
      </font>
    </dxf>
    <dxf>
      <font>
        <color theme="9" tint="-0.24994659260841701"/>
      </font>
    </dxf>
    <dxf>
      <font>
        <color theme="9" tint="-0.24994659260841701"/>
      </font>
    </dxf>
    <dxf>
      <font>
        <b/>
        <i val="0"/>
        <color rgb="FFC00000"/>
      </font>
    </dxf>
    <dxf>
      <font>
        <color theme="9" tint="-0.24994659260841701"/>
        <name val="Cambria"/>
        <scheme val="none"/>
      </font>
    </dxf>
    <dxf>
      <font>
        <b/>
        <i val="0"/>
        <color rgb="FFC00000"/>
      </font>
    </dxf>
    <dxf>
      <font>
        <color rgb="FF7030A0"/>
      </font>
    </dxf>
    <dxf>
      <font>
        <b/>
        <i val="0"/>
        <color rgb="FFC00000"/>
      </font>
    </dxf>
    <dxf>
      <font>
        <color theme="9" tint="-0.24994659260841701"/>
        <name val="Cambria"/>
        <scheme val="none"/>
      </font>
    </dxf>
    <dxf>
      <font>
        <b/>
        <i val="0"/>
        <color rgb="FFC00000"/>
      </font>
    </dxf>
    <dxf>
      <font>
        <color rgb="FF7030A0"/>
      </font>
    </dxf>
    <dxf>
      <font>
        <color theme="9" tint="-0.24994659260841701"/>
      </font>
    </dxf>
    <dxf>
      <font>
        <color theme="9" tint="-0.24994659260841701"/>
      </font>
    </dxf>
    <dxf>
      <font>
        <color theme="9" tint="-0.24994659260841701"/>
      </font>
    </dxf>
    <dxf>
      <font>
        <color theme="9" tint="-0.24994659260841701"/>
      </font>
    </dxf>
    <dxf>
      <font>
        <color theme="9" tint="-0.24994659260841701"/>
      </font>
    </dxf>
    <dxf>
      <font>
        <color theme="9" tint="-0.24994659260841701"/>
      </font>
    </dxf>
    <dxf>
      <font>
        <color theme="9" tint="-0.24994659260841701"/>
      </font>
    </dxf>
    <dxf>
      <font>
        <color theme="9" tint="-0.24994659260841701"/>
      </font>
    </dxf>
    <dxf>
      <font>
        <color theme="9" tint="-0.24994659260841701"/>
      </font>
    </dxf>
    <dxf>
      <font>
        <color theme="9" tint="-0.24994659260841701"/>
      </font>
    </dxf>
    <dxf>
      <font>
        <b/>
        <i val="0"/>
        <color rgb="FFC00000"/>
      </font>
    </dxf>
    <dxf>
      <font>
        <color rgb="FF7030A0"/>
      </font>
    </dxf>
    <dxf>
      <font>
        <b/>
        <i val="0"/>
        <color rgb="FFC00000"/>
      </font>
    </dxf>
    <dxf>
      <font>
        <color theme="9" tint="-0.24994659260841701"/>
        <name val="Cambria"/>
        <scheme val="none"/>
      </font>
    </dxf>
    <dxf>
      <font>
        <b/>
        <i val="0"/>
        <color rgb="FFC00000"/>
      </font>
    </dxf>
    <dxf>
      <font>
        <color rgb="FF7030A0"/>
      </font>
    </dxf>
    <dxf>
      <font>
        <b/>
        <i val="0"/>
        <color rgb="FFC00000"/>
      </font>
    </dxf>
    <dxf>
      <font>
        <color theme="9" tint="-0.24994659260841701"/>
        <name val="Cambria"/>
        <scheme val="none"/>
      </font>
    </dxf>
    <dxf>
      <font>
        <b/>
        <i val="0"/>
        <color rgb="FFC00000"/>
      </font>
    </dxf>
    <dxf>
      <font>
        <color rgb="FF7030A0"/>
      </font>
    </dxf>
    <dxf>
      <font>
        <color theme="9" tint="-0.24994659260841701"/>
      </font>
    </dxf>
    <dxf>
      <font>
        <color theme="9" tint="-0.24994659260841701"/>
      </font>
    </dxf>
    <dxf>
      <font>
        <color theme="9" tint="-0.24994659260841701"/>
      </font>
    </dxf>
    <dxf>
      <font>
        <color theme="9" tint="-0.24994659260841701"/>
      </font>
    </dxf>
    <dxf>
      <font>
        <color theme="9" tint="-0.24994659260841701"/>
      </font>
    </dxf>
    <dxf>
      <font>
        <b/>
        <i val="0"/>
        <color rgb="FFC00000"/>
      </font>
    </dxf>
    <dxf>
      <font>
        <color theme="9" tint="-0.24994659260841701"/>
        <name val="Cambria"/>
        <scheme val="none"/>
      </font>
    </dxf>
    <dxf>
      <font>
        <color theme="9" tint="-0.24994659260841701"/>
      </font>
    </dxf>
    <dxf>
      <font>
        <color rgb="FF7030A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color theme="9" tint="-0.24994659260841701"/>
        <name val="Cambria"/>
        <scheme val="none"/>
      </font>
    </dxf>
    <dxf>
      <font>
        <color theme="9" tint="-0.24994659260841701"/>
      </font>
    </dxf>
    <dxf>
      <font>
        <b/>
        <i val="0"/>
        <color rgb="FFC00000"/>
      </font>
    </dxf>
    <dxf>
      <font>
        <color rgb="FF7030A0"/>
      </font>
    </dxf>
    <dxf>
      <font>
        <b/>
        <i val="0"/>
        <color rgb="FFC00000"/>
      </font>
    </dxf>
    <dxf>
      <font>
        <color theme="9" tint="-0.24994659260841701"/>
        <name val="Cambria"/>
        <scheme val="none"/>
      </font>
    </dxf>
    <dxf>
      <font>
        <b/>
        <i val="0"/>
        <color rgb="FFC00000"/>
      </font>
    </dxf>
    <dxf>
      <font>
        <color theme="9" tint="-0.24994659260841701"/>
        <name val="Cambria"/>
        <scheme val="none"/>
      </font>
    </dxf>
    <dxf>
      <font>
        <b/>
        <i val="0"/>
        <color rgb="FFC00000"/>
      </font>
    </dxf>
    <dxf>
      <font>
        <color theme="9" tint="-0.24994659260841701"/>
        <name val="Cambria"/>
        <scheme val="none"/>
      </font>
    </dxf>
    <dxf>
      <font>
        <b/>
        <i val="0"/>
        <color rgb="FFC00000"/>
      </font>
    </dxf>
    <dxf>
      <font>
        <color theme="9" tint="-0.24994659260841701"/>
        <name val="Cambria"/>
        <scheme val="none"/>
      </font>
    </dxf>
    <dxf>
      <font>
        <color theme="9" tint="-0.24994659260841701"/>
      </font>
    </dxf>
    <dxf>
      <font>
        <color theme="9" tint="-0.499984740745262"/>
      </font>
    </dxf>
    <dxf>
      <font>
        <color rgb="FFFF0000"/>
      </font>
    </dxf>
    <dxf>
      <font>
        <color rgb="FF7030A0"/>
      </font>
    </dxf>
    <dxf>
      <font>
        <color rgb="FFFF0000"/>
      </font>
    </dxf>
    <dxf>
      <font>
        <b/>
        <i val="0"/>
        <color rgb="FFC00000"/>
      </font>
    </dxf>
    <dxf>
      <font>
        <color theme="9" tint="-0.24994659260841701"/>
        <name val="Cambria"/>
        <scheme val="none"/>
      </font>
    </dxf>
    <dxf>
      <font>
        <color theme="9" tint="-0.24994659260841701"/>
      </font>
    </dxf>
    <dxf>
      <font>
        <b/>
        <i val="0"/>
        <color rgb="FFC00000"/>
      </font>
    </dxf>
    <dxf>
      <font>
        <color theme="9" tint="-0.24994659260841701"/>
        <name val="Cambria"/>
        <scheme val="none"/>
      </font>
    </dxf>
    <dxf>
      <font>
        <color theme="9" tint="-0.24994659260841701"/>
      </font>
    </dxf>
    <dxf>
      <font>
        <b/>
        <i val="0"/>
        <color rgb="FFC00000"/>
      </font>
    </dxf>
    <dxf>
      <font>
        <color theme="9" tint="-0.24994659260841701"/>
        <name val="Cambria"/>
        <scheme val="none"/>
      </font>
    </dxf>
    <dxf>
      <font>
        <b/>
        <i val="0"/>
        <color rgb="FFC00000"/>
      </font>
    </dxf>
    <dxf>
      <font>
        <color theme="9" tint="-0.24994659260841701"/>
        <name val="Cambria"/>
        <scheme val="none"/>
      </font>
    </dxf>
    <dxf>
      <font>
        <color theme="9" tint="-0.24994659260841701"/>
      </font>
    </dxf>
    <dxf>
      <font>
        <color rgb="FF7030A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color theme="9" tint="-0.24994659260841701"/>
        <name val="Cambria"/>
        <scheme val="none"/>
      </font>
    </dxf>
    <dxf>
      <font>
        <color theme="9" tint="-0.24994659260841701"/>
      </font>
    </dxf>
    <dxf>
      <font>
        <b/>
        <i val="0"/>
        <color rgb="FFC00000"/>
      </font>
    </dxf>
    <dxf>
      <font>
        <color rgb="FF7030A0"/>
      </font>
    </dxf>
    <dxf>
      <font>
        <color theme="9" tint="-0.499984740745262"/>
      </font>
    </dxf>
    <dxf>
      <font>
        <color rgb="FFFF0000"/>
      </font>
    </dxf>
    <dxf>
      <font>
        <color rgb="FF7030A0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rgb="FF7030A0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rgb="FF7030A0"/>
      </font>
    </dxf>
    <dxf>
      <font>
        <color rgb="FFFF0000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rgb="FF7030A0"/>
      </font>
    </dxf>
    <dxf>
      <font>
        <b/>
        <i val="0"/>
        <color rgb="FFC00000"/>
      </font>
    </dxf>
    <dxf>
      <font>
        <color rgb="FF7030A0"/>
      </font>
    </dxf>
    <dxf>
      <font>
        <color theme="9" tint="-0.499984740745262"/>
      </font>
    </dxf>
    <dxf>
      <font>
        <color rgb="FFFF0000"/>
      </font>
    </dxf>
    <dxf>
      <font>
        <color rgb="FF7030A0"/>
      </font>
    </dxf>
    <dxf>
      <font>
        <color rgb="FFFF0000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rgb="FF7030A0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rgb="FF7030A0"/>
      </font>
    </dxf>
    <dxf>
      <font>
        <b/>
        <i val="0"/>
        <color rgb="FFC00000"/>
      </font>
    </dxf>
    <dxf>
      <font>
        <color rgb="FF7030A0"/>
      </font>
    </dxf>
    <dxf>
      <font>
        <b/>
        <i val="0"/>
        <color rgb="FFC00000"/>
      </font>
    </dxf>
    <dxf>
      <font>
        <color rgb="FF7030A0"/>
      </font>
    </dxf>
    <dxf>
      <font>
        <color theme="9" tint="-0.499984740745262"/>
      </font>
    </dxf>
    <dxf>
      <font>
        <color rgb="FFFF0000"/>
      </font>
    </dxf>
    <dxf>
      <font>
        <color rgb="FF7030A0"/>
      </font>
    </dxf>
    <dxf>
      <font>
        <color rgb="FFFF0000"/>
      </font>
    </dxf>
    <dxf>
      <font>
        <b/>
        <i val="0"/>
        <color rgb="FFC00000"/>
      </font>
    </dxf>
    <dxf>
      <font>
        <color rgb="FF7030A0"/>
      </font>
    </dxf>
    <dxf>
      <font>
        <color theme="9" tint="-0.499984740745262"/>
      </font>
    </dxf>
    <dxf>
      <font>
        <color rgb="FFFF0000"/>
      </font>
    </dxf>
    <dxf>
      <font>
        <color rgb="FF7030A0"/>
      </font>
    </dxf>
    <dxf>
      <font>
        <color rgb="FFFF0000"/>
      </font>
    </dxf>
    <dxf>
      <font>
        <b/>
        <i val="0"/>
        <color rgb="FFC00000"/>
      </font>
    </dxf>
    <dxf>
      <font>
        <color rgb="FF7030A0"/>
      </font>
    </dxf>
    <dxf>
      <font>
        <color theme="9" tint="-0.499984740745262"/>
      </font>
    </dxf>
    <dxf>
      <font>
        <color rgb="FFFF0000"/>
      </font>
    </dxf>
    <dxf>
      <font>
        <color rgb="FF7030A0"/>
      </font>
    </dxf>
    <dxf>
      <font>
        <color rgb="FFFF0000"/>
      </font>
    </dxf>
    <dxf>
      <font>
        <b/>
        <i val="0"/>
        <color rgb="FFC00000"/>
      </font>
    </dxf>
    <dxf>
      <font>
        <color rgb="FF7030A0"/>
      </font>
    </dxf>
    <dxf>
      <font>
        <color theme="9" tint="-0.499984740745262"/>
      </font>
    </dxf>
    <dxf>
      <font>
        <color rgb="FFFF0000"/>
      </font>
    </dxf>
    <dxf>
      <font>
        <color rgb="FF7030A0"/>
      </font>
    </dxf>
    <dxf>
      <font>
        <color rgb="FFFF0000"/>
      </font>
    </dxf>
    <dxf>
      <font>
        <b/>
        <i val="0"/>
        <color rgb="FFC00000"/>
      </font>
    </dxf>
    <dxf>
      <font>
        <color rgb="FF7030A0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rgb="FF7030A0"/>
      </font>
    </dxf>
    <dxf>
      <font>
        <color theme="9" tint="-0.499984740745262"/>
      </font>
    </dxf>
    <dxf>
      <font>
        <color rgb="FFFF0000"/>
      </font>
    </dxf>
    <dxf>
      <font>
        <color rgb="FF7030A0"/>
      </font>
    </dxf>
    <dxf>
      <font>
        <color rgb="FFFF0000"/>
      </font>
    </dxf>
    <dxf>
      <font>
        <b/>
        <i val="0"/>
        <color rgb="FFC00000"/>
      </font>
    </dxf>
    <dxf>
      <font>
        <color rgb="FF7030A0"/>
      </font>
    </dxf>
    <dxf>
      <font>
        <b/>
        <i val="0"/>
        <color rgb="FFC00000"/>
      </font>
    </dxf>
    <dxf>
      <font>
        <color rgb="FF7030A0"/>
      </font>
    </dxf>
    <dxf>
      <font>
        <b/>
        <i val="0"/>
        <color rgb="FFC00000"/>
      </font>
    </dxf>
    <dxf>
      <font>
        <color rgb="FF7030A0"/>
      </font>
    </dxf>
    <dxf>
      <font>
        <color theme="9" tint="-0.499984740745262"/>
      </font>
    </dxf>
    <dxf>
      <font>
        <color rgb="FFFF0000"/>
      </font>
    </dxf>
    <dxf>
      <font>
        <color rgb="FF7030A0"/>
      </font>
    </dxf>
    <dxf>
      <font>
        <color rgb="FFFF0000"/>
      </font>
    </dxf>
    <dxf>
      <font>
        <b/>
        <i val="0"/>
        <color rgb="FFC00000"/>
      </font>
    </dxf>
    <dxf>
      <font>
        <color rgb="FF7030A0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rgb="FF7030A0"/>
      </font>
    </dxf>
    <dxf>
      <font>
        <color theme="9" tint="-0.499984740745262"/>
      </font>
    </dxf>
    <dxf>
      <font>
        <color rgb="FFFF0000"/>
      </font>
    </dxf>
    <dxf>
      <font>
        <color rgb="FF7030A0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FIELD SUMMARY PERFORMANCE (SEPT 2025</a:t>
            </a:r>
            <a:r>
              <a:rPr lang="en-US"/>
              <a:t>)</a:t>
            </a:r>
          </a:p>
        </c:rich>
      </c:tx>
      <c:layout>
        <c:manualLayout>
          <c:xMode val="edge"/>
          <c:yMode val="edge"/>
          <c:x val="0.21556886350933319"/>
          <c:y val="3.86983289357959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574850299401197"/>
          <c:y val="0.18469680787331985"/>
          <c:w val="0.6467065868263473"/>
          <c:h val="0.5883912593678617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'SUM PERFORMANCE'!$A$4</c:f>
              <c:strCache>
                <c:ptCount val="1"/>
                <c:pt idx="0">
                  <c:v>Infrastructure and Systems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'SUM PERFORMANCE'!$B$3:$H$3</c:f>
              <c:strCache>
                <c:ptCount val="7"/>
                <c:pt idx="0">
                  <c:v>Region 1</c:v>
                </c:pt>
                <c:pt idx="1">
                  <c:v>Region 2</c:v>
                </c:pt>
                <c:pt idx="2">
                  <c:v>Region 3</c:v>
                </c:pt>
                <c:pt idx="3">
                  <c:v>Region 4</c:v>
                </c:pt>
                <c:pt idx="4">
                  <c:v>Region 5</c:v>
                </c:pt>
                <c:pt idx="5">
                  <c:v>Region 6</c:v>
                </c:pt>
                <c:pt idx="6">
                  <c:v>Region 7</c:v>
                </c:pt>
              </c:strCache>
            </c:strRef>
          </c:cat>
          <c:val>
            <c:numRef>
              <c:f>'SUM PERFORMANCE'!$B$4:$H$4</c:f>
              <c:numCache>
                <c:formatCode>0.0%</c:formatCode>
                <c:ptCount val="7"/>
                <c:pt idx="0">
                  <c:v>1</c:v>
                </c:pt>
                <c:pt idx="1">
                  <c:v>1</c:v>
                </c:pt>
                <c:pt idx="2">
                  <c:v>0.99285714285714288</c:v>
                </c:pt>
                <c:pt idx="3">
                  <c:v>1</c:v>
                </c:pt>
                <c:pt idx="4">
                  <c:v>0.99795918367346936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AA-485E-80FE-034F8666B584}"/>
            </c:ext>
          </c:extLst>
        </c:ser>
        <c:ser>
          <c:idx val="1"/>
          <c:order val="1"/>
          <c:tx>
            <c:strRef>
              <c:f>'SUM PERFORMANCE'!$A$5</c:f>
              <c:strCache>
                <c:ptCount val="1"/>
                <c:pt idx="0">
                  <c:v>ChaiPro/SAP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'SUM PERFORMANCE'!$B$3:$H$3</c:f>
              <c:strCache>
                <c:ptCount val="7"/>
                <c:pt idx="0">
                  <c:v>Region 1</c:v>
                </c:pt>
                <c:pt idx="1">
                  <c:v>Region 2</c:v>
                </c:pt>
                <c:pt idx="2">
                  <c:v>Region 3</c:v>
                </c:pt>
                <c:pt idx="3">
                  <c:v>Region 4</c:v>
                </c:pt>
                <c:pt idx="4">
                  <c:v>Region 5</c:v>
                </c:pt>
                <c:pt idx="5">
                  <c:v>Region 6</c:v>
                </c:pt>
                <c:pt idx="6">
                  <c:v>Region 7</c:v>
                </c:pt>
              </c:strCache>
            </c:strRef>
          </c:cat>
          <c:val>
            <c:numRef>
              <c:f>'SUM PERFORMANCE'!$B$5:$H$5</c:f>
              <c:numCache>
                <c:formatCode>0.0%</c:formatCode>
                <c:ptCount val="7"/>
                <c:pt idx="0">
                  <c:v>0.98571428571428577</c:v>
                </c:pt>
                <c:pt idx="1">
                  <c:v>0.99682539682539684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AA-485E-80FE-034F8666B584}"/>
            </c:ext>
          </c:extLst>
        </c:ser>
        <c:ser>
          <c:idx val="2"/>
          <c:order val="2"/>
          <c:tx>
            <c:strRef>
              <c:f>'SUM PERFORMANCE'!$A$6</c:f>
              <c:strCache>
                <c:ptCount val="1"/>
                <c:pt idx="0">
                  <c:v>Inventory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'SUM PERFORMANCE'!$B$3:$H$3</c:f>
              <c:strCache>
                <c:ptCount val="7"/>
                <c:pt idx="0">
                  <c:v>Region 1</c:v>
                </c:pt>
                <c:pt idx="1">
                  <c:v>Region 2</c:v>
                </c:pt>
                <c:pt idx="2">
                  <c:v>Region 3</c:v>
                </c:pt>
                <c:pt idx="3">
                  <c:v>Region 4</c:v>
                </c:pt>
                <c:pt idx="4">
                  <c:v>Region 5</c:v>
                </c:pt>
                <c:pt idx="5">
                  <c:v>Region 6</c:v>
                </c:pt>
                <c:pt idx="6">
                  <c:v>Region 7</c:v>
                </c:pt>
              </c:strCache>
            </c:strRef>
          </c:cat>
          <c:val>
            <c:numRef>
              <c:f>'SUM PERFORMANCE'!$B$6:$H$6</c:f>
              <c:numCache>
                <c:formatCode>0.0%</c:formatCode>
                <c:ptCount val="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AA-485E-80FE-034F8666B584}"/>
            </c:ext>
          </c:extLst>
        </c:ser>
        <c:ser>
          <c:idx val="3"/>
          <c:order val="3"/>
          <c:tx>
            <c:strRef>
              <c:f>'SUM PERFORMANCE'!$A$7</c:f>
              <c:strCache>
                <c:ptCount val="1"/>
                <c:pt idx="0">
                  <c:v>BCP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'SUM PERFORMANCE'!$B$3:$H$3</c:f>
              <c:strCache>
                <c:ptCount val="7"/>
                <c:pt idx="0">
                  <c:v>Region 1</c:v>
                </c:pt>
                <c:pt idx="1">
                  <c:v>Region 2</c:v>
                </c:pt>
                <c:pt idx="2">
                  <c:v>Region 3</c:v>
                </c:pt>
                <c:pt idx="3">
                  <c:v>Region 4</c:v>
                </c:pt>
                <c:pt idx="4">
                  <c:v>Region 5</c:v>
                </c:pt>
                <c:pt idx="5">
                  <c:v>Region 6</c:v>
                </c:pt>
                <c:pt idx="6">
                  <c:v>Region 7</c:v>
                </c:pt>
              </c:strCache>
            </c:strRef>
          </c:cat>
          <c:val>
            <c:numRef>
              <c:f>'SUM PERFORMANCE'!$B$7:$H$7</c:f>
              <c:numCache>
                <c:formatCode>0.0%</c:formatCode>
                <c:ptCount val="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7AA-485E-80FE-034F8666B584}"/>
            </c:ext>
          </c:extLst>
        </c:ser>
        <c:ser>
          <c:idx val="4"/>
          <c:order val="4"/>
          <c:tx>
            <c:strRef>
              <c:f>'SUM PERFORMANCE'!$A$10</c:f>
              <c:strCache>
                <c:ptCount val="1"/>
                <c:pt idx="0">
                  <c:v>Target Performance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'SUM PERFORMANCE'!$B$3:$H$3</c:f>
              <c:strCache>
                <c:ptCount val="7"/>
                <c:pt idx="0">
                  <c:v>Region 1</c:v>
                </c:pt>
                <c:pt idx="1">
                  <c:v>Region 2</c:v>
                </c:pt>
                <c:pt idx="2">
                  <c:v>Region 3</c:v>
                </c:pt>
                <c:pt idx="3">
                  <c:v>Region 4</c:v>
                </c:pt>
                <c:pt idx="4">
                  <c:v>Region 5</c:v>
                </c:pt>
                <c:pt idx="5">
                  <c:v>Region 6</c:v>
                </c:pt>
                <c:pt idx="6">
                  <c:v>Region 7</c:v>
                </c:pt>
              </c:strCache>
            </c:strRef>
          </c:cat>
          <c:val>
            <c:numRef>
              <c:f>'SUM PERFORMANCE'!$B$10:$H$10</c:f>
              <c:numCache>
                <c:formatCode>0.0%</c:formatCode>
                <c:ptCount val="7"/>
                <c:pt idx="0">
                  <c:v>0.99</c:v>
                </c:pt>
                <c:pt idx="1">
                  <c:v>0.99</c:v>
                </c:pt>
                <c:pt idx="2">
                  <c:v>0.99</c:v>
                </c:pt>
                <c:pt idx="3">
                  <c:v>0.99</c:v>
                </c:pt>
                <c:pt idx="4">
                  <c:v>0.99</c:v>
                </c:pt>
                <c:pt idx="5">
                  <c:v>0.99</c:v>
                </c:pt>
                <c:pt idx="6">
                  <c:v>0.99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7AA-485E-80FE-034F8666B5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0564384"/>
        <c:axId val="1"/>
      </c:barChart>
      <c:catAx>
        <c:axId val="7105643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REGIONS</a:t>
                </a:r>
              </a:p>
            </c:rich>
          </c:tx>
          <c:layout>
            <c:manualLayout>
              <c:xMode val="edge"/>
              <c:yMode val="edge"/>
              <c:x val="0.14545504728575595"/>
              <c:y val="0.849986027865919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1"/>
        </c:scaling>
        <c:delete val="0"/>
        <c:axPos val="l"/>
        <c:majorGridlines>
          <c:spPr>
            <a:ln w="12700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</a:t>
                </a:r>
              </a:p>
            </c:rich>
          </c:tx>
          <c:layout>
            <c:manualLayout>
              <c:xMode val="edge"/>
              <c:yMode val="edge"/>
              <c:x val="2.3952050154672763E-2"/>
              <c:y val="0.3588396041523833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0564384"/>
        <c:crosses val="autoZero"/>
        <c:crossBetween val="between"/>
      </c:valAx>
      <c:spPr>
        <a:noFill/>
        <a:ln w="0">
          <a:solidFill>
            <a:schemeClr val="bg1">
              <a:lumMod val="8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28672738824313626"/>
          <c:y val="0.91086196315012857"/>
          <c:w val="0.42654511936007999"/>
          <c:h val="5.597054099580836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>
      <a:gsLst>
        <a:gs pos="0">
          <a:schemeClr val="accent1">
            <a:lumMod val="5000"/>
            <a:lumOff val="95000"/>
          </a:schemeClr>
        </a:gs>
        <a:gs pos="100000">
          <a:schemeClr val="accent1">
            <a:lumMod val="45000"/>
            <a:lumOff val="55000"/>
            <a:alpha val="0"/>
          </a:schemeClr>
        </a:gs>
        <a:gs pos="88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12700" cap="rnd" cmpd="sng" algn="ctr">
      <a:solidFill>
        <a:schemeClr val="tx1">
          <a:alpha val="91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 alignWithMargins="0"/>
    <c:pageMargins b="1" l="0.75" r="0.75" t="1" header="0.5" footer="0.5"/>
    <c:pageSetup paperSize="9" orientation="landscape" horizontalDpi="-1" verticalDpi="-1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15</xdr:row>
      <xdr:rowOff>38099</xdr:rowOff>
    </xdr:from>
    <xdr:to>
      <xdr:col>8</xdr:col>
      <xdr:colOff>1285875</xdr:colOff>
      <xdr:row>38</xdr:row>
      <xdr:rowOff>152399</xdr:rowOff>
    </xdr:to>
    <xdr:graphicFrame macro="">
      <xdr:nvGraphicFramePr>
        <xdr:cNvPr id="4160555" name="Chart 7">
          <a:extLst>
            <a:ext uri="{FF2B5EF4-FFF2-40B4-BE49-F238E27FC236}">
              <a16:creationId xmlns:a16="http://schemas.microsoft.com/office/drawing/2014/main" id="{00000000-0008-0000-0C00-00002B7C3F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3.bin"/><Relationship Id="rId4" Type="http://schemas.openxmlformats.org/officeDocument/2006/relationships/comments" Target="../comments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/>
  <dimension ref="A1:R119"/>
  <sheetViews>
    <sheetView zoomScale="89" zoomScaleNormal="89" workbookViewId="0">
      <pane xSplit="2" ySplit="1" topLeftCell="C76" activePane="bottomRight" state="frozenSplit"/>
      <selection pane="topRight" activeCell="C1" sqref="C1"/>
      <selection pane="bottomLeft" activeCell="A28" sqref="A28"/>
      <selection pane="bottomRight" activeCell="C5" sqref="C5"/>
    </sheetView>
  </sheetViews>
  <sheetFormatPr defaultColWidth="9.109375" defaultRowHeight="13.2" x14ac:dyDescent="0.25"/>
  <cols>
    <col min="1" max="1" width="4.44140625" style="48" bestFit="1" customWidth="1"/>
    <col min="2" max="2" width="51" style="48" bestFit="1" customWidth="1"/>
    <col min="3" max="3" width="23.33203125" style="48" bestFit="1" customWidth="1"/>
    <col min="4" max="4" width="24.44140625" style="48" bestFit="1" customWidth="1"/>
    <col min="5" max="5" width="27.33203125" style="48" bestFit="1" customWidth="1"/>
    <col min="6" max="6" width="24.6640625" style="48" bestFit="1" customWidth="1"/>
    <col min="7" max="7" width="22.6640625" style="48" bestFit="1" customWidth="1"/>
    <col min="8" max="8" width="23.109375" style="48" customWidth="1"/>
    <col min="9" max="9" width="37.5546875" style="48" customWidth="1"/>
    <col min="10" max="10" width="24.5546875" style="48" bestFit="1" customWidth="1"/>
    <col min="11" max="11" width="27" style="48" bestFit="1" customWidth="1"/>
    <col min="12" max="12" width="18.5546875" style="48" bestFit="1" customWidth="1"/>
    <col min="13" max="13" width="29.88671875" style="48" bestFit="1" customWidth="1"/>
    <col min="14" max="14" width="18.33203125" style="48" bestFit="1" customWidth="1"/>
    <col min="15" max="15" width="18.6640625" style="48" bestFit="1" customWidth="1"/>
    <col min="16" max="16" width="32.6640625" style="48" bestFit="1" customWidth="1"/>
    <col min="17" max="17" width="17" style="48" bestFit="1" customWidth="1"/>
    <col min="18" max="18" width="18.44140625" style="48" bestFit="1" customWidth="1"/>
    <col min="19" max="16384" width="9.109375" style="48"/>
  </cols>
  <sheetData>
    <row r="1" spans="1:14" ht="13.8" thickBot="1" x14ac:dyDescent="0.3">
      <c r="A1" s="47"/>
      <c r="B1" s="343" t="s">
        <v>103</v>
      </c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</row>
    <row r="2" spans="1:14" ht="13.8" thickBot="1" x14ac:dyDescent="0.3">
      <c r="A2" s="47"/>
      <c r="B2" s="298" t="s">
        <v>43</v>
      </c>
      <c r="C2" s="47"/>
      <c r="D2" s="47"/>
      <c r="E2" s="47"/>
      <c r="F2" s="47"/>
      <c r="G2" s="47"/>
      <c r="H2" s="47"/>
      <c r="I2" s="47"/>
      <c r="J2" s="47"/>
      <c r="K2" s="47"/>
      <c r="L2" s="47"/>
      <c r="M2" s="49">
        <v>45930</v>
      </c>
      <c r="N2" s="47"/>
    </row>
    <row r="3" spans="1:14" ht="13.8" thickBot="1" x14ac:dyDescent="0.3">
      <c r="A3" s="165" t="s">
        <v>0</v>
      </c>
      <c r="B3" s="166" t="s">
        <v>1</v>
      </c>
      <c r="C3" s="165" t="s">
        <v>54</v>
      </c>
      <c r="D3" s="165" t="s">
        <v>55</v>
      </c>
      <c r="E3" s="165" t="s">
        <v>56</v>
      </c>
      <c r="F3" s="165" t="s">
        <v>117</v>
      </c>
      <c r="G3" s="165" t="s">
        <v>57</v>
      </c>
      <c r="H3" s="165" t="s">
        <v>58</v>
      </c>
      <c r="I3" s="165" t="s">
        <v>59</v>
      </c>
      <c r="J3" s="165" t="s">
        <v>60</v>
      </c>
      <c r="K3" s="167" t="s">
        <v>61</v>
      </c>
      <c r="L3" s="165" t="s">
        <v>62</v>
      </c>
      <c r="M3" s="165" t="s">
        <v>63</v>
      </c>
      <c r="N3" s="168" t="s">
        <v>64</v>
      </c>
    </row>
    <row r="4" spans="1:14" ht="27" thickBot="1" x14ac:dyDescent="0.3">
      <c r="A4" s="344">
        <v>1</v>
      </c>
      <c r="B4" s="345" t="s">
        <v>10</v>
      </c>
      <c r="C4" s="346" t="s">
        <v>240</v>
      </c>
      <c r="D4" s="346" t="s">
        <v>241</v>
      </c>
      <c r="E4" s="346" t="s">
        <v>241</v>
      </c>
      <c r="F4" s="346" t="s">
        <v>241</v>
      </c>
      <c r="G4" s="346" t="s">
        <v>241</v>
      </c>
      <c r="H4" s="346" t="s">
        <v>241</v>
      </c>
      <c r="I4" s="346" t="s">
        <v>240</v>
      </c>
      <c r="J4" s="346" t="s">
        <v>241</v>
      </c>
      <c r="K4" s="346" t="s">
        <v>241</v>
      </c>
      <c r="L4" s="346" t="s">
        <v>241</v>
      </c>
      <c r="M4" s="346" t="s">
        <v>240</v>
      </c>
      <c r="N4" s="346" t="s">
        <v>241</v>
      </c>
    </row>
    <row r="5" spans="1:14" ht="27" thickBot="1" x14ac:dyDescent="0.3">
      <c r="A5" s="344">
        <v>2</v>
      </c>
      <c r="B5" s="345" t="s">
        <v>11</v>
      </c>
      <c r="C5" s="346" t="s">
        <v>242</v>
      </c>
      <c r="D5" s="346" t="s">
        <v>243</v>
      </c>
      <c r="E5" s="346" t="s">
        <v>243</v>
      </c>
      <c r="F5" s="346" t="s">
        <v>242</v>
      </c>
      <c r="G5" s="346" t="s">
        <v>243</v>
      </c>
      <c r="H5" s="346" t="s">
        <v>243</v>
      </c>
      <c r="I5" s="346" t="s">
        <v>244</v>
      </c>
      <c r="J5" s="346" t="s">
        <v>244</v>
      </c>
      <c r="K5" s="346" t="s">
        <v>243</v>
      </c>
      <c r="L5" s="346" t="s">
        <v>244</v>
      </c>
      <c r="M5" s="346" t="s">
        <v>243</v>
      </c>
      <c r="N5" s="346" t="s">
        <v>244</v>
      </c>
    </row>
    <row r="6" spans="1:14" ht="13.8" thickBot="1" x14ac:dyDescent="0.3">
      <c r="A6" s="344">
        <v>3</v>
      </c>
      <c r="B6" s="345" t="s">
        <v>201</v>
      </c>
      <c r="C6" s="346" t="s">
        <v>245</v>
      </c>
      <c r="D6" s="346" t="s">
        <v>245</v>
      </c>
      <c r="E6" s="346" t="s">
        <v>245</v>
      </c>
      <c r="F6" s="346" t="s">
        <v>245</v>
      </c>
      <c r="G6" s="346" t="s">
        <v>245</v>
      </c>
      <c r="H6" s="346" t="s">
        <v>245</v>
      </c>
      <c r="I6" s="346" t="s">
        <v>245</v>
      </c>
      <c r="J6" s="346" t="s">
        <v>245</v>
      </c>
      <c r="K6" s="346" t="s">
        <v>245</v>
      </c>
      <c r="L6" s="346" t="s">
        <v>245</v>
      </c>
      <c r="M6" s="346" t="s">
        <v>245</v>
      </c>
      <c r="N6" s="346" t="s">
        <v>245</v>
      </c>
    </row>
    <row r="7" spans="1:14" ht="27" thickBot="1" x14ac:dyDescent="0.3">
      <c r="A7" s="344">
        <v>4</v>
      </c>
      <c r="B7" s="345" t="s">
        <v>202</v>
      </c>
      <c r="C7" s="346" t="s">
        <v>246</v>
      </c>
      <c r="D7" s="346" t="s">
        <v>246</v>
      </c>
      <c r="E7" s="346" t="s">
        <v>247</v>
      </c>
      <c r="F7" s="346" t="s">
        <v>247</v>
      </c>
      <c r="G7" s="346" t="s">
        <v>246</v>
      </c>
      <c r="H7" s="346" t="s">
        <v>246</v>
      </c>
      <c r="I7" s="346" t="s">
        <v>246</v>
      </c>
      <c r="J7" s="346" t="s">
        <v>246</v>
      </c>
      <c r="K7" s="346" t="s">
        <v>246</v>
      </c>
      <c r="L7" s="346" t="s">
        <v>246</v>
      </c>
      <c r="M7" s="346" t="s">
        <v>246</v>
      </c>
      <c r="N7" s="346" t="s">
        <v>246</v>
      </c>
    </row>
    <row r="8" spans="1:14" ht="13.8" thickBot="1" x14ac:dyDescent="0.3">
      <c r="A8" s="344">
        <v>5</v>
      </c>
      <c r="B8" s="345" t="s">
        <v>203</v>
      </c>
      <c r="C8" s="346" t="s">
        <v>248</v>
      </c>
      <c r="D8" s="346" t="s">
        <v>248</v>
      </c>
      <c r="E8" s="346" t="s">
        <v>248</v>
      </c>
      <c r="F8" s="346" t="s">
        <v>248</v>
      </c>
      <c r="G8" s="346" t="s">
        <v>248</v>
      </c>
      <c r="H8" s="346" t="s">
        <v>248</v>
      </c>
      <c r="I8" s="346" t="s">
        <v>248</v>
      </c>
      <c r="J8" s="346" t="s">
        <v>248</v>
      </c>
      <c r="K8" s="346" t="s">
        <v>248</v>
      </c>
      <c r="L8" s="346" t="s">
        <v>248</v>
      </c>
      <c r="M8" s="346" t="s">
        <v>248</v>
      </c>
      <c r="N8" s="346" t="s">
        <v>248</v>
      </c>
    </row>
    <row r="9" spans="1:14" ht="13.8" thickBot="1" x14ac:dyDescent="0.3">
      <c r="A9" s="344">
        <v>6</v>
      </c>
      <c r="B9" s="345" t="s">
        <v>204</v>
      </c>
      <c r="C9" s="346" t="s">
        <v>97</v>
      </c>
      <c r="D9" s="346" t="s">
        <v>97</v>
      </c>
      <c r="E9" s="346" t="s">
        <v>97</v>
      </c>
      <c r="F9" s="346" t="s">
        <v>97</v>
      </c>
      <c r="G9" s="346" t="s">
        <v>97</v>
      </c>
      <c r="H9" s="346" t="s">
        <v>97</v>
      </c>
      <c r="I9" s="346" t="s">
        <v>97</v>
      </c>
      <c r="J9" s="346" t="s">
        <v>97</v>
      </c>
      <c r="K9" s="346" t="s">
        <v>97</v>
      </c>
      <c r="L9" s="346" t="s">
        <v>97</v>
      </c>
      <c r="M9" s="346" t="s">
        <v>97</v>
      </c>
      <c r="N9" s="346" t="s">
        <v>97</v>
      </c>
    </row>
    <row r="10" spans="1:14" ht="13.8" thickBot="1" x14ac:dyDescent="0.3">
      <c r="A10" s="344">
        <v>7</v>
      </c>
      <c r="B10" s="345" t="s">
        <v>205</v>
      </c>
      <c r="C10" s="346" t="s">
        <v>206</v>
      </c>
      <c r="D10" s="346" t="s">
        <v>206</v>
      </c>
      <c r="E10" s="346" t="s">
        <v>206</v>
      </c>
      <c r="F10" s="346" t="s">
        <v>206</v>
      </c>
      <c r="G10" s="346" t="s">
        <v>206</v>
      </c>
      <c r="H10" s="346" t="s">
        <v>206</v>
      </c>
      <c r="I10" s="346" t="s">
        <v>206</v>
      </c>
      <c r="J10" s="346" t="s">
        <v>207</v>
      </c>
      <c r="K10" s="346" t="s">
        <v>206</v>
      </c>
      <c r="L10" s="346" t="s">
        <v>206</v>
      </c>
      <c r="M10" s="346" t="s">
        <v>206</v>
      </c>
      <c r="N10" s="346" t="s">
        <v>206</v>
      </c>
    </row>
    <row r="11" spans="1:14" s="347" customFormat="1" ht="27" thickBot="1" x14ac:dyDescent="0.3">
      <c r="A11" s="344">
        <v>8</v>
      </c>
      <c r="B11" s="345" t="s">
        <v>208</v>
      </c>
      <c r="C11" s="346" t="s">
        <v>209</v>
      </c>
      <c r="D11" s="346" t="s">
        <v>210</v>
      </c>
      <c r="E11" s="346" t="s">
        <v>211</v>
      </c>
      <c r="F11" s="346" t="s">
        <v>212</v>
      </c>
      <c r="G11" s="346" t="s">
        <v>213</v>
      </c>
      <c r="H11" s="346" t="s">
        <v>213</v>
      </c>
      <c r="I11" s="346" t="s">
        <v>214</v>
      </c>
      <c r="J11" s="346" t="s">
        <v>215</v>
      </c>
      <c r="K11" s="346" t="s">
        <v>216</v>
      </c>
      <c r="L11" s="346" t="s">
        <v>217</v>
      </c>
      <c r="M11" s="346" t="s">
        <v>209</v>
      </c>
      <c r="N11" s="346" t="s">
        <v>218</v>
      </c>
    </row>
    <row r="12" spans="1:14" s="347" customFormat="1" ht="13.8" thickBot="1" x14ac:dyDescent="0.3">
      <c r="A12" s="344">
        <v>9</v>
      </c>
      <c r="B12" s="345" t="s">
        <v>219</v>
      </c>
      <c r="C12" s="346" t="s">
        <v>220</v>
      </c>
      <c r="D12" s="346" t="s">
        <v>220</v>
      </c>
      <c r="E12" s="346" t="s">
        <v>220</v>
      </c>
      <c r="F12" s="346" t="s">
        <v>220</v>
      </c>
      <c r="G12" s="346" t="s">
        <v>220</v>
      </c>
      <c r="H12" s="346" t="s">
        <v>220</v>
      </c>
      <c r="I12" s="346" t="s">
        <v>220</v>
      </c>
      <c r="J12" s="346" t="s">
        <v>220</v>
      </c>
      <c r="K12" s="346" t="s">
        <v>220</v>
      </c>
      <c r="L12" s="346" t="s">
        <v>220</v>
      </c>
      <c r="M12" s="346" t="s">
        <v>220</v>
      </c>
      <c r="N12" s="346" t="s">
        <v>220</v>
      </c>
    </row>
    <row r="13" spans="1:14" s="347" customFormat="1" ht="27" thickBot="1" x14ac:dyDescent="0.3">
      <c r="A13" s="344">
        <v>10</v>
      </c>
      <c r="B13" s="345" t="s">
        <v>221</v>
      </c>
      <c r="C13" s="346" t="s">
        <v>220</v>
      </c>
      <c r="D13" s="346" t="s">
        <v>220</v>
      </c>
      <c r="E13" s="346" t="s">
        <v>220</v>
      </c>
      <c r="F13" s="346" t="s">
        <v>220</v>
      </c>
      <c r="G13" s="346" t="s">
        <v>220</v>
      </c>
      <c r="H13" s="346" t="s">
        <v>222</v>
      </c>
      <c r="I13" s="346" t="s">
        <v>220</v>
      </c>
      <c r="J13" s="346" t="s">
        <v>220</v>
      </c>
      <c r="K13" s="346" t="s">
        <v>220</v>
      </c>
      <c r="L13" s="346" t="s">
        <v>220</v>
      </c>
      <c r="M13" s="346" t="s">
        <v>220</v>
      </c>
      <c r="N13" s="346" t="s">
        <v>220</v>
      </c>
    </row>
    <row r="14" spans="1:14" s="347" customFormat="1" ht="79.8" thickBot="1" x14ac:dyDescent="0.3">
      <c r="A14" s="344">
        <v>11</v>
      </c>
      <c r="B14" s="345" t="s">
        <v>223</v>
      </c>
      <c r="C14" s="346" t="s">
        <v>224</v>
      </c>
      <c r="D14" s="346" t="s">
        <v>225</v>
      </c>
      <c r="E14" s="346" t="s">
        <v>226</v>
      </c>
      <c r="F14" s="346" t="s">
        <v>227</v>
      </c>
      <c r="G14" s="346" t="s">
        <v>220</v>
      </c>
      <c r="H14" s="346" t="s">
        <v>228</v>
      </c>
      <c r="I14" s="346" t="s">
        <v>356</v>
      </c>
      <c r="J14" s="346" t="s">
        <v>229</v>
      </c>
      <c r="K14" s="346" t="s">
        <v>230</v>
      </c>
      <c r="L14" s="346" t="s">
        <v>231</v>
      </c>
      <c r="M14" s="346" t="s">
        <v>232</v>
      </c>
      <c r="N14" s="346" t="s">
        <v>233</v>
      </c>
    </row>
    <row r="15" spans="1:14" s="347" customFormat="1" ht="13.8" thickBot="1" x14ac:dyDescent="0.3">
      <c r="A15" s="344">
        <v>12</v>
      </c>
      <c r="B15" s="345" t="s">
        <v>234</v>
      </c>
      <c r="C15" s="346" t="s">
        <v>235</v>
      </c>
      <c r="D15" s="346" t="s">
        <v>235</v>
      </c>
      <c r="E15" s="346" t="s">
        <v>235</v>
      </c>
      <c r="F15" s="346" t="s">
        <v>235</v>
      </c>
      <c r="G15" s="346" t="s">
        <v>235</v>
      </c>
      <c r="H15" s="346" t="s">
        <v>235</v>
      </c>
      <c r="I15" s="346" t="s">
        <v>235</v>
      </c>
      <c r="J15" s="346" t="s">
        <v>235</v>
      </c>
      <c r="K15" s="346" t="s">
        <v>235</v>
      </c>
      <c r="L15" s="346" t="s">
        <v>235</v>
      </c>
      <c r="M15" s="346" t="s">
        <v>235</v>
      </c>
      <c r="N15" s="346" t="s">
        <v>235</v>
      </c>
    </row>
    <row r="16" spans="1:14" s="347" customFormat="1" ht="13.8" thickBot="1" x14ac:dyDescent="0.3">
      <c r="A16" s="344">
        <v>13</v>
      </c>
      <c r="B16" s="345" t="s">
        <v>236</v>
      </c>
      <c r="C16" s="346" t="s">
        <v>237</v>
      </c>
      <c r="D16" s="346" t="s">
        <v>238</v>
      </c>
      <c r="E16" s="346" t="s">
        <v>237</v>
      </c>
      <c r="F16" s="346" t="s">
        <v>237</v>
      </c>
      <c r="G16" s="346" t="s">
        <v>237</v>
      </c>
      <c r="H16" s="346" t="s">
        <v>237</v>
      </c>
      <c r="I16" s="346" t="s">
        <v>237</v>
      </c>
      <c r="J16" s="346" t="s">
        <v>237</v>
      </c>
      <c r="K16" s="346" t="s">
        <v>237</v>
      </c>
      <c r="L16" s="346" t="s">
        <v>237</v>
      </c>
      <c r="M16" s="346" t="s">
        <v>237</v>
      </c>
      <c r="N16" s="346" t="s">
        <v>237</v>
      </c>
    </row>
    <row r="17" spans="1:14" s="347" customFormat="1" ht="13.8" thickBot="1" x14ac:dyDescent="0.3">
      <c r="A17" s="344">
        <v>14</v>
      </c>
      <c r="B17" s="345" t="s">
        <v>239</v>
      </c>
      <c r="C17" s="346"/>
      <c r="D17" s="346"/>
      <c r="E17" s="346"/>
      <c r="F17" s="346"/>
      <c r="G17" s="346"/>
      <c r="H17" s="346"/>
      <c r="I17" s="346"/>
      <c r="J17" s="346"/>
      <c r="K17" s="346"/>
      <c r="L17" s="346"/>
      <c r="M17" s="346"/>
      <c r="N17" s="346"/>
    </row>
    <row r="18" spans="1:14" ht="13.8" thickBot="1" x14ac:dyDescent="0.3">
      <c r="A18" s="324"/>
      <c r="B18" s="218"/>
      <c r="C18" s="324"/>
      <c r="D18" s="324"/>
      <c r="E18" s="324"/>
      <c r="F18" s="324"/>
      <c r="G18" s="324"/>
      <c r="H18" s="324"/>
      <c r="I18" s="324"/>
      <c r="J18" s="324"/>
      <c r="K18" s="324"/>
      <c r="L18" s="324"/>
      <c r="M18" s="324"/>
      <c r="N18" s="324"/>
    </row>
    <row r="19" spans="1:14" ht="13.8" thickBot="1" x14ac:dyDescent="0.3">
      <c r="A19" s="47"/>
      <c r="B19" s="298" t="s">
        <v>44</v>
      </c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</row>
    <row r="20" spans="1:14" ht="13.8" thickBot="1" x14ac:dyDescent="0.3">
      <c r="A20" s="348" t="s">
        <v>0</v>
      </c>
      <c r="B20" s="349" t="s">
        <v>1</v>
      </c>
      <c r="C20" s="165" t="s">
        <v>68</v>
      </c>
      <c r="D20" s="165" t="s">
        <v>69</v>
      </c>
      <c r="E20" s="165" t="s">
        <v>70</v>
      </c>
      <c r="F20" s="165" t="s">
        <v>71</v>
      </c>
      <c r="G20" s="165" t="s">
        <v>72</v>
      </c>
      <c r="H20" s="165" t="s">
        <v>73</v>
      </c>
      <c r="I20" s="165" t="s">
        <v>74</v>
      </c>
      <c r="J20" s="165" t="s">
        <v>75</v>
      </c>
      <c r="K20" s="165" t="s">
        <v>76</v>
      </c>
      <c r="L20" s="47"/>
      <c r="M20" s="47"/>
      <c r="N20" s="47"/>
    </row>
    <row r="21" spans="1:14" ht="13.8" thickBot="1" x14ac:dyDescent="0.3">
      <c r="A21" s="344">
        <v>1</v>
      </c>
      <c r="B21" s="350" t="s">
        <v>10</v>
      </c>
      <c r="C21" s="346" t="s">
        <v>98</v>
      </c>
      <c r="D21" s="346" t="s">
        <v>98</v>
      </c>
      <c r="E21" s="346" t="s">
        <v>98</v>
      </c>
      <c r="F21" s="346" t="s">
        <v>98</v>
      </c>
      <c r="G21" s="346" t="s">
        <v>98</v>
      </c>
      <c r="H21" s="346" t="s">
        <v>98</v>
      </c>
      <c r="I21" s="346" t="s">
        <v>98</v>
      </c>
      <c r="J21" s="346" t="s">
        <v>98</v>
      </c>
      <c r="K21" s="346" t="s">
        <v>98</v>
      </c>
      <c r="L21" s="47"/>
      <c r="M21" s="47"/>
      <c r="N21" s="47"/>
    </row>
    <row r="22" spans="1:14" ht="13.8" thickBot="1" x14ac:dyDescent="0.3">
      <c r="A22" s="344">
        <v>2</v>
      </c>
      <c r="B22" s="350" t="s">
        <v>11</v>
      </c>
      <c r="C22" s="346" t="s">
        <v>98</v>
      </c>
      <c r="D22" s="346" t="s">
        <v>98</v>
      </c>
      <c r="E22" s="346" t="s">
        <v>98</v>
      </c>
      <c r="F22" s="346" t="s">
        <v>98</v>
      </c>
      <c r="G22" s="346" t="s">
        <v>98</v>
      </c>
      <c r="H22" s="346" t="s">
        <v>98</v>
      </c>
      <c r="I22" s="346" t="s">
        <v>98</v>
      </c>
      <c r="J22" s="346" t="s">
        <v>98</v>
      </c>
      <c r="K22" s="346" t="s">
        <v>98</v>
      </c>
      <c r="L22" s="47"/>
      <c r="M22" s="47"/>
      <c r="N22" s="47"/>
    </row>
    <row r="23" spans="1:14" ht="13.8" thickBot="1" x14ac:dyDescent="0.3">
      <c r="A23" s="344">
        <v>3</v>
      </c>
      <c r="B23" s="350" t="s">
        <v>201</v>
      </c>
      <c r="C23" s="346" t="s">
        <v>98</v>
      </c>
      <c r="D23" s="346" t="s">
        <v>98</v>
      </c>
      <c r="E23" s="346" t="s">
        <v>98</v>
      </c>
      <c r="F23" s="346" t="s">
        <v>98</v>
      </c>
      <c r="G23" s="346" t="s">
        <v>98</v>
      </c>
      <c r="H23" s="346" t="s">
        <v>98</v>
      </c>
      <c r="I23" s="346" t="s">
        <v>98</v>
      </c>
      <c r="J23" s="346" t="s">
        <v>98</v>
      </c>
      <c r="K23" s="346" t="s">
        <v>98</v>
      </c>
      <c r="L23" s="47"/>
      <c r="M23" s="47"/>
      <c r="N23" s="47"/>
    </row>
    <row r="24" spans="1:14" ht="13.8" thickBot="1" x14ac:dyDescent="0.3">
      <c r="A24" s="344">
        <v>4</v>
      </c>
      <c r="B24" s="350" t="s">
        <v>202</v>
      </c>
      <c r="C24" s="346" t="s">
        <v>102</v>
      </c>
      <c r="D24" s="346" t="s">
        <v>102</v>
      </c>
      <c r="E24" s="346" t="s">
        <v>102</v>
      </c>
      <c r="F24" s="346" t="s">
        <v>102</v>
      </c>
      <c r="G24" s="346" t="s">
        <v>102</v>
      </c>
      <c r="H24" s="346" t="s">
        <v>102</v>
      </c>
      <c r="I24" s="346" t="s">
        <v>102</v>
      </c>
      <c r="J24" s="346" t="s">
        <v>102</v>
      </c>
      <c r="K24" s="346" t="s">
        <v>102</v>
      </c>
      <c r="L24" s="47"/>
      <c r="M24" s="47"/>
      <c r="N24" s="47"/>
    </row>
    <row r="25" spans="1:14" ht="13.8" thickBot="1" x14ac:dyDescent="0.3">
      <c r="A25" s="344">
        <v>5</v>
      </c>
      <c r="B25" s="350" t="s">
        <v>203</v>
      </c>
      <c r="C25" s="346" t="s">
        <v>98</v>
      </c>
      <c r="D25" s="346" t="s">
        <v>98</v>
      </c>
      <c r="E25" s="346" t="s">
        <v>98</v>
      </c>
      <c r="F25" s="346" t="s">
        <v>98</v>
      </c>
      <c r="G25" s="346" t="s">
        <v>98</v>
      </c>
      <c r="H25" s="346" t="s">
        <v>98</v>
      </c>
      <c r="I25" s="346" t="s">
        <v>98</v>
      </c>
      <c r="J25" s="346" t="s">
        <v>98</v>
      </c>
      <c r="K25" s="346" t="s">
        <v>98</v>
      </c>
      <c r="L25" s="47"/>
      <c r="M25" s="47"/>
      <c r="N25" s="47"/>
    </row>
    <row r="26" spans="1:14" ht="13.8" thickBot="1" x14ac:dyDescent="0.3">
      <c r="A26" s="344">
        <v>6</v>
      </c>
      <c r="B26" s="350" t="s">
        <v>204</v>
      </c>
      <c r="C26" s="346" t="s">
        <v>98</v>
      </c>
      <c r="D26" s="346" t="s">
        <v>98</v>
      </c>
      <c r="E26" s="346" t="s">
        <v>98</v>
      </c>
      <c r="F26" s="346" t="s">
        <v>98</v>
      </c>
      <c r="G26" s="346" t="s">
        <v>98</v>
      </c>
      <c r="H26" s="346" t="s">
        <v>98</v>
      </c>
      <c r="I26" s="346" t="s">
        <v>98</v>
      </c>
      <c r="J26" s="346" t="s">
        <v>98</v>
      </c>
      <c r="K26" s="346" t="s">
        <v>98</v>
      </c>
      <c r="L26" s="47"/>
      <c r="M26" s="47"/>
      <c r="N26" s="47"/>
    </row>
    <row r="27" spans="1:14" ht="13.8" thickBot="1" x14ac:dyDescent="0.3">
      <c r="A27" s="344">
        <v>7</v>
      </c>
      <c r="B27" s="350" t="s">
        <v>205</v>
      </c>
      <c r="C27" s="346" t="s">
        <v>98</v>
      </c>
      <c r="D27" s="346" t="s">
        <v>98</v>
      </c>
      <c r="E27" s="346" t="s">
        <v>98</v>
      </c>
      <c r="F27" s="346" t="s">
        <v>98</v>
      </c>
      <c r="G27" s="346" t="s">
        <v>98</v>
      </c>
      <c r="H27" s="346" t="s">
        <v>98</v>
      </c>
      <c r="I27" s="346" t="s">
        <v>98</v>
      </c>
      <c r="J27" s="346" t="s">
        <v>98</v>
      </c>
      <c r="K27" s="346" t="s">
        <v>98</v>
      </c>
      <c r="L27" s="47"/>
      <c r="M27" s="47"/>
      <c r="N27" s="47"/>
    </row>
    <row r="28" spans="1:14" ht="13.8" thickBot="1" x14ac:dyDescent="0.3">
      <c r="A28" s="344">
        <v>8</v>
      </c>
      <c r="B28" s="350" t="s">
        <v>208</v>
      </c>
      <c r="C28" s="346" t="s">
        <v>98</v>
      </c>
      <c r="D28" s="346" t="s">
        <v>98</v>
      </c>
      <c r="E28" s="346" t="s">
        <v>98</v>
      </c>
      <c r="F28" s="346" t="s">
        <v>98</v>
      </c>
      <c r="G28" s="346" t="s">
        <v>98</v>
      </c>
      <c r="H28" s="346" t="s">
        <v>98</v>
      </c>
      <c r="I28" s="346" t="s">
        <v>98</v>
      </c>
      <c r="J28" s="346" t="s">
        <v>98</v>
      </c>
      <c r="K28" s="346" t="s">
        <v>98</v>
      </c>
      <c r="L28" s="47"/>
      <c r="M28" s="47"/>
      <c r="N28" s="47"/>
    </row>
    <row r="29" spans="1:14" ht="13.8" thickBot="1" x14ac:dyDescent="0.3">
      <c r="A29" s="344">
        <v>9</v>
      </c>
      <c r="B29" s="350" t="s">
        <v>219</v>
      </c>
      <c r="C29" s="346" t="s">
        <v>98</v>
      </c>
      <c r="D29" s="346" t="s">
        <v>98</v>
      </c>
      <c r="E29" s="346" t="s">
        <v>98</v>
      </c>
      <c r="F29" s="346" t="s">
        <v>98</v>
      </c>
      <c r="G29" s="346" t="s">
        <v>98</v>
      </c>
      <c r="H29" s="346" t="s">
        <v>98</v>
      </c>
      <c r="I29" s="346" t="s">
        <v>98</v>
      </c>
      <c r="J29" s="346" t="s">
        <v>98</v>
      </c>
      <c r="K29" s="346" t="s">
        <v>98</v>
      </c>
      <c r="L29" s="47"/>
      <c r="M29" s="47"/>
      <c r="N29" s="47"/>
    </row>
    <row r="30" spans="1:14" ht="13.8" thickBot="1" x14ac:dyDescent="0.3">
      <c r="A30" s="344">
        <v>10</v>
      </c>
      <c r="B30" s="350" t="s">
        <v>221</v>
      </c>
      <c r="C30" s="346" t="s">
        <v>98</v>
      </c>
      <c r="D30" s="346" t="s">
        <v>98</v>
      </c>
      <c r="E30" s="346" t="s">
        <v>98</v>
      </c>
      <c r="F30" s="346" t="s">
        <v>98</v>
      </c>
      <c r="G30" s="346" t="s">
        <v>98</v>
      </c>
      <c r="H30" s="346" t="s">
        <v>98</v>
      </c>
      <c r="I30" s="346" t="s">
        <v>98</v>
      </c>
      <c r="J30" s="346" t="s">
        <v>98</v>
      </c>
      <c r="K30" s="346" t="s">
        <v>98</v>
      </c>
      <c r="L30" s="47"/>
      <c r="M30" s="47"/>
      <c r="N30" s="47"/>
    </row>
    <row r="31" spans="1:14" ht="13.8" thickBot="1" x14ac:dyDescent="0.3">
      <c r="A31" s="344">
        <v>11</v>
      </c>
      <c r="B31" s="350" t="s">
        <v>223</v>
      </c>
      <c r="C31" s="346" t="s">
        <v>98</v>
      </c>
      <c r="D31" s="346" t="s">
        <v>98</v>
      </c>
      <c r="E31" s="346" t="s">
        <v>98</v>
      </c>
      <c r="F31" s="346" t="s">
        <v>98</v>
      </c>
      <c r="G31" s="346" t="s">
        <v>98</v>
      </c>
      <c r="H31" s="346" t="s">
        <v>98</v>
      </c>
      <c r="I31" s="346" t="s">
        <v>98</v>
      </c>
      <c r="J31" s="346" t="s">
        <v>98</v>
      </c>
      <c r="K31" s="346" t="s">
        <v>98</v>
      </c>
      <c r="L31" s="47"/>
      <c r="M31" s="47"/>
      <c r="N31" s="47"/>
    </row>
    <row r="32" spans="1:14" ht="13.8" thickBot="1" x14ac:dyDescent="0.3">
      <c r="A32" s="344">
        <v>12</v>
      </c>
      <c r="B32" s="350" t="s">
        <v>234</v>
      </c>
      <c r="C32" s="346" t="s">
        <v>98</v>
      </c>
      <c r="D32" s="346" t="s">
        <v>98</v>
      </c>
      <c r="E32" s="346" t="s">
        <v>98</v>
      </c>
      <c r="F32" s="346" t="s">
        <v>98</v>
      </c>
      <c r="G32" s="346" t="s">
        <v>98</v>
      </c>
      <c r="H32" s="346" t="s">
        <v>98</v>
      </c>
      <c r="I32" s="346" t="s">
        <v>98</v>
      </c>
      <c r="J32" s="346" t="s">
        <v>98</v>
      </c>
      <c r="K32" s="346" t="s">
        <v>98</v>
      </c>
      <c r="L32" s="47"/>
      <c r="M32" s="47"/>
      <c r="N32" s="47"/>
    </row>
    <row r="33" spans="1:14" ht="13.8" thickBot="1" x14ac:dyDescent="0.3">
      <c r="A33" s="344">
        <v>13</v>
      </c>
      <c r="B33" s="350" t="s">
        <v>236</v>
      </c>
      <c r="C33" s="346" t="s">
        <v>98</v>
      </c>
      <c r="D33" s="346" t="s">
        <v>98</v>
      </c>
      <c r="E33" s="346" t="s">
        <v>98</v>
      </c>
      <c r="F33" s="346" t="s">
        <v>98</v>
      </c>
      <c r="G33" s="346" t="s">
        <v>98</v>
      </c>
      <c r="H33" s="346" t="s">
        <v>98</v>
      </c>
      <c r="I33" s="346" t="s">
        <v>98</v>
      </c>
      <c r="J33" s="346" t="s">
        <v>98</v>
      </c>
      <c r="K33" s="346" t="s">
        <v>98</v>
      </c>
      <c r="L33" s="47"/>
      <c r="M33" s="47"/>
      <c r="N33" s="47"/>
    </row>
    <row r="34" spans="1:14" ht="13.8" thickBot="1" x14ac:dyDescent="0.3">
      <c r="A34" s="344">
        <v>14</v>
      </c>
      <c r="B34" s="350" t="s">
        <v>239</v>
      </c>
      <c r="C34" s="344" t="s">
        <v>269</v>
      </c>
      <c r="D34" s="344" t="s">
        <v>269</v>
      </c>
      <c r="E34" s="344" t="s">
        <v>269</v>
      </c>
      <c r="F34" s="344" t="s">
        <v>269</v>
      </c>
      <c r="G34" s="344" t="s">
        <v>269</v>
      </c>
      <c r="H34" s="344" t="s">
        <v>269</v>
      </c>
      <c r="I34" s="344" t="s">
        <v>269</v>
      </c>
      <c r="J34" s="344" t="s">
        <v>269</v>
      </c>
      <c r="K34" s="344" t="s">
        <v>269</v>
      </c>
      <c r="L34" s="47"/>
      <c r="M34" s="47"/>
      <c r="N34" s="47"/>
    </row>
    <row r="35" spans="1:14" ht="13.8" thickBot="1" x14ac:dyDescent="0.3">
      <c r="A35" s="324"/>
      <c r="B35" s="351"/>
    </row>
    <row r="36" spans="1:14" ht="13.8" thickBot="1" x14ac:dyDescent="0.3">
      <c r="A36" s="50"/>
      <c r="B36" s="298" t="s">
        <v>45</v>
      </c>
      <c r="C36" s="47"/>
      <c r="D36" s="47"/>
      <c r="E36" s="47"/>
      <c r="F36" s="47"/>
      <c r="G36" s="47"/>
      <c r="H36" s="47"/>
      <c r="I36" s="47"/>
      <c r="J36" s="47"/>
      <c r="K36" s="47"/>
    </row>
    <row r="37" spans="1:14" ht="13.8" thickBot="1" x14ac:dyDescent="0.3">
      <c r="A37" s="299" t="s">
        <v>0</v>
      </c>
      <c r="B37" s="350" t="s">
        <v>1</v>
      </c>
      <c r="C37" s="165" t="s">
        <v>271</v>
      </c>
      <c r="D37" s="165" t="s">
        <v>77</v>
      </c>
      <c r="E37" s="165" t="s">
        <v>78</v>
      </c>
      <c r="F37" s="165" t="s">
        <v>79</v>
      </c>
      <c r="G37" s="165" t="s">
        <v>80</v>
      </c>
      <c r="H37" s="165" t="s">
        <v>81</v>
      </c>
      <c r="I37" s="165" t="s">
        <v>82</v>
      </c>
      <c r="J37" s="165" t="s">
        <v>83</v>
      </c>
    </row>
    <row r="38" spans="1:14" ht="13.8" thickBot="1" x14ac:dyDescent="0.3">
      <c r="A38" s="344">
        <v>1</v>
      </c>
      <c r="B38" s="350" t="s">
        <v>10</v>
      </c>
      <c r="C38" s="346" t="s">
        <v>249</v>
      </c>
      <c r="D38" s="346" t="s">
        <v>250</v>
      </c>
      <c r="E38" s="346" t="s">
        <v>249</v>
      </c>
      <c r="F38" s="346" t="s">
        <v>251</v>
      </c>
      <c r="G38" s="346" t="s">
        <v>251</v>
      </c>
      <c r="H38" s="346" t="s">
        <v>249</v>
      </c>
      <c r="I38" s="346" t="s">
        <v>249</v>
      </c>
      <c r="J38" s="352"/>
    </row>
    <row r="39" spans="1:14" ht="13.8" thickBot="1" x14ac:dyDescent="0.3">
      <c r="A39" s="344">
        <v>2</v>
      </c>
      <c r="B39" s="350" t="s">
        <v>11</v>
      </c>
      <c r="C39" s="346" t="s">
        <v>252</v>
      </c>
      <c r="D39" s="346" t="s">
        <v>252</v>
      </c>
      <c r="E39" s="346" t="s">
        <v>252</v>
      </c>
      <c r="F39" s="346" t="s">
        <v>252</v>
      </c>
      <c r="G39" s="346" t="s">
        <v>252</v>
      </c>
      <c r="H39" s="346" t="s">
        <v>252</v>
      </c>
      <c r="I39" s="346" t="s">
        <v>252</v>
      </c>
      <c r="J39" s="352"/>
    </row>
    <row r="40" spans="1:14" ht="13.8" thickBot="1" x14ac:dyDescent="0.3">
      <c r="A40" s="344">
        <v>3</v>
      </c>
      <c r="B40" s="350" t="s">
        <v>201</v>
      </c>
      <c r="C40" s="346" t="s">
        <v>252</v>
      </c>
      <c r="D40" s="346" t="s">
        <v>252</v>
      </c>
      <c r="E40" s="346" t="s">
        <v>253</v>
      </c>
      <c r="F40" s="346" t="s">
        <v>254</v>
      </c>
      <c r="G40" s="346" t="s">
        <v>255</v>
      </c>
      <c r="H40" s="346" t="s">
        <v>256</v>
      </c>
      <c r="I40" s="346" t="s">
        <v>252</v>
      </c>
      <c r="J40" s="352"/>
    </row>
    <row r="41" spans="1:14" ht="13.8" thickBot="1" x14ac:dyDescent="0.3">
      <c r="A41" s="344">
        <v>4</v>
      </c>
      <c r="B41" s="350" t="s">
        <v>202</v>
      </c>
      <c r="C41" s="346" t="s">
        <v>257</v>
      </c>
      <c r="D41" s="346" t="s">
        <v>252</v>
      </c>
      <c r="E41" s="346" t="s">
        <v>253</v>
      </c>
      <c r="F41" s="346" t="s">
        <v>254</v>
      </c>
      <c r="G41" s="346" t="s">
        <v>258</v>
      </c>
      <c r="H41" s="346" t="s">
        <v>259</v>
      </c>
      <c r="I41" s="346" t="s">
        <v>252</v>
      </c>
      <c r="J41" s="352"/>
    </row>
    <row r="42" spans="1:14" ht="27" thickBot="1" x14ac:dyDescent="0.3">
      <c r="A42" s="344">
        <v>5</v>
      </c>
      <c r="B42" s="350" t="s">
        <v>203</v>
      </c>
      <c r="C42" s="346" t="s">
        <v>252</v>
      </c>
      <c r="D42" s="346" t="s">
        <v>252</v>
      </c>
      <c r="E42" s="346" t="s">
        <v>260</v>
      </c>
      <c r="F42" s="346" t="s">
        <v>254</v>
      </c>
      <c r="G42" s="346" t="s">
        <v>255</v>
      </c>
      <c r="H42" s="346" t="s">
        <v>256</v>
      </c>
      <c r="I42" s="346" t="s">
        <v>252</v>
      </c>
      <c r="J42" s="352"/>
    </row>
    <row r="43" spans="1:14" ht="13.8" thickBot="1" x14ac:dyDescent="0.3">
      <c r="A43" s="344">
        <v>6</v>
      </c>
      <c r="B43" s="350" t="s">
        <v>204</v>
      </c>
      <c r="C43" s="346" t="s">
        <v>252</v>
      </c>
      <c r="D43" s="346" t="s">
        <v>252</v>
      </c>
      <c r="E43" s="346" t="s">
        <v>253</v>
      </c>
      <c r="F43" s="346" t="s">
        <v>254</v>
      </c>
      <c r="G43" s="346" t="s">
        <v>255</v>
      </c>
      <c r="H43" s="346" t="s">
        <v>256</v>
      </c>
      <c r="I43" s="346" t="s">
        <v>252</v>
      </c>
      <c r="J43" s="352"/>
    </row>
    <row r="44" spans="1:14" ht="13.8" thickBot="1" x14ac:dyDescent="0.3">
      <c r="A44" s="344">
        <v>7</v>
      </c>
      <c r="B44" s="350" t="s">
        <v>205</v>
      </c>
      <c r="C44" s="346" t="s">
        <v>206</v>
      </c>
      <c r="D44" s="346" t="s">
        <v>206</v>
      </c>
      <c r="E44" s="346" t="s">
        <v>207</v>
      </c>
      <c r="F44" s="346" t="s">
        <v>254</v>
      </c>
      <c r="G44" s="346" t="s">
        <v>261</v>
      </c>
      <c r="H44" s="346" t="s">
        <v>262</v>
      </c>
      <c r="I44" s="346" t="s">
        <v>263</v>
      </c>
      <c r="J44" s="352"/>
    </row>
    <row r="45" spans="1:14" ht="13.8" thickBot="1" x14ac:dyDescent="0.3">
      <c r="A45" s="344">
        <v>8</v>
      </c>
      <c r="B45" s="350" t="s">
        <v>208</v>
      </c>
      <c r="C45" s="346">
        <v>9</v>
      </c>
      <c r="D45" s="346">
        <v>9</v>
      </c>
      <c r="E45" s="346">
        <v>10</v>
      </c>
      <c r="F45" s="346">
        <v>8</v>
      </c>
      <c r="G45" s="346">
        <v>11</v>
      </c>
      <c r="H45" s="346" t="s">
        <v>264</v>
      </c>
      <c r="I45" s="346">
        <v>9</v>
      </c>
      <c r="J45" s="352"/>
    </row>
    <row r="46" spans="1:14" ht="13.8" thickBot="1" x14ac:dyDescent="0.3">
      <c r="A46" s="344">
        <v>9</v>
      </c>
      <c r="B46" s="350" t="s">
        <v>219</v>
      </c>
      <c r="C46" s="346" t="s">
        <v>265</v>
      </c>
      <c r="D46" s="346" t="s">
        <v>265</v>
      </c>
      <c r="E46" s="346" t="s">
        <v>253</v>
      </c>
      <c r="F46" s="346" t="s">
        <v>254</v>
      </c>
      <c r="G46" s="346" t="s">
        <v>255</v>
      </c>
      <c r="H46" s="346" t="s">
        <v>255</v>
      </c>
      <c r="I46" s="346" t="s">
        <v>265</v>
      </c>
      <c r="J46" s="352"/>
    </row>
    <row r="47" spans="1:14" ht="27" thickBot="1" x14ac:dyDescent="0.3">
      <c r="A47" s="344">
        <v>10</v>
      </c>
      <c r="B47" s="350" t="s">
        <v>221</v>
      </c>
      <c r="C47" s="346" t="s">
        <v>266</v>
      </c>
      <c r="D47" s="346" t="s">
        <v>266</v>
      </c>
      <c r="E47" s="346" t="s">
        <v>266</v>
      </c>
      <c r="F47" s="346" t="s">
        <v>266</v>
      </c>
      <c r="G47" s="346" t="s">
        <v>255</v>
      </c>
      <c r="H47" s="346" t="s">
        <v>266</v>
      </c>
      <c r="I47" s="346" t="s">
        <v>266</v>
      </c>
      <c r="J47" s="352"/>
    </row>
    <row r="48" spans="1:14" ht="27" thickBot="1" x14ac:dyDescent="0.3">
      <c r="A48" s="344">
        <v>11</v>
      </c>
      <c r="B48" s="350" t="s">
        <v>223</v>
      </c>
      <c r="C48" s="346" t="s">
        <v>267</v>
      </c>
      <c r="D48" s="346" t="s">
        <v>267</v>
      </c>
      <c r="E48" s="346" t="s">
        <v>267</v>
      </c>
      <c r="F48" s="346" t="s">
        <v>267</v>
      </c>
      <c r="G48" s="346" t="s">
        <v>255</v>
      </c>
      <c r="H48" s="346" t="s">
        <v>267</v>
      </c>
      <c r="I48" s="346" t="s">
        <v>267</v>
      </c>
      <c r="J48" s="352"/>
    </row>
    <row r="49" spans="1:10" ht="13.8" thickBot="1" x14ac:dyDescent="0.3">
      <c r="A49" s="344">
        <v>12</v>
      </c>
      <c r="B49" s="350" t="s">
        <v>234</v>
      </c>
      <c r="C49" s="346" t="s">
        <v>253</v>
      </c>
      <c r="D49" s="346" t="s">
        <v>253</v>
      </c>
      <c r="E49" s="346" t="s">
        <v>253</v>
      </c>
      <c r="F49" s="346" t="s">
        <v>254</v>
      </c>
      <c r="G49" s="346" t="s">
        <v>255</v>
      </c>
      <c r="H49" s="346" t="s">
        <v>268</v>
      </c>
      <c r="I49" s="346" t="s">
        <v>253</v>
      </c>
      <c r="J49" s="352"/>
    </row>
    <row r="50" spans="1:10" ht="13.8" thickBot="1" x14ac:dyDescent="0.3">
      <c r="A50" s="344">
        <v>13</v>
      </c>
      <c r="B50" s="350" t="s">
        <v>236</v>
      </c>
      <c r="C50" s="346" t="s">
        <v>258</v>
      </c>
      <c r="D50" s="346" t="s">
        <v>258</v>
      </c>
      <c r="E50" s="346" t="s">
        <v>258</v>
      </c>
      <c r="F50" s="346" t="s">
        <v>258</v>
      </c>
      <c r="G50" s="346" t="s">
        <v>258</v>
      </c>
      <c r="H50" s="346" t="s">
        <v>258</v>
      </c>
      <c r="I50" s="346" t="s">
        <v>258</v>
      </c>
      <c r="J50" s="352"/>
    </row>
    <row r="51" spans="1:10" ht="13.8" thickBot="1" x14ac:dyDescent="0.3">
      <c r="A51" s="344">
        <v>14</v>
      </c>
      <c r="B51" s="350" t="s">
        <v>239</v>
      </c>
      <c r="C51" s="346" t="s">
        <v>269</v>
      </c>
      <c r="D51" s="346" t="s">
        <v>270</v>
      </c>
      <c r="E51" s="346" t="s">
        <v>270</v>
      </c>
      <c r="F51" s="346" t="s">
        <v>270</v>
      </c>
      <c r="G51" s="346" t="s">
        <v>270</v>
      </c>
      <c r="H51" s="346" t="s">
        <v>270</v>
      </c>
      <c r="I51" s="346" t="s">
        <v>270</v>
      </c>
      <c r="J51" s="352"/>
    </row>
    <row r="52" spans="1:10" ht="13.8" thickBot="1" x14ac:dyDescent="0.3"/>
    <row r="53" spans="1:10" ht="13.8" thickBot="1" x14ac:dyDescent="0.3">
      <c r="B53" s="298" t="s">
        <v>46</v>
      </c>
    </row>
    <row r="54" spans="1:10" ht="13.8" thickBot="1" x14ac:dyDescent="0.3">
      <c r="A54" s="299" t="s">
        <v>0</v>
      </c>
      <c r="B54" s="300" t="s">
        <v>1</v>
      </c>
      <c r="C54" s="51" t="s">
        <v>104</v>
      </c>
      <c r="D54" s="51" t="s">
        <v>105</v>
      </c>
      <c r="E54" s="51" t="s">
        <v>106</v>
      </c>
      <c r="F54" s="165" t="s">
        <v>107</v>
      </c>
      <c r="G54" s="165" t="s">
        <v>108</v>
      </c>
      <c r="H54" s="165" t="s">
        <v>109</v>
      </c>
      <c r="I54" s="165" t="s">
        <v>110</v>
      </c>
      <c r="J54" s="165" t="s">
        <v>111</v>
      </c>
    </row>
    <row r="55" spans="1:10" ht="13.8" thickBot="1" x14ac:dyDescent="0.3">
      <c r="A55" s="344">
        <v>1</v>
      </c>
      <c r="B55" s="350" t="s">
        <v>10</v>
      </c>
      <c r="C55" s="169" t="s">
        <v>245</v>
      </c>
      <c r="D55" s="169" t="s">
        <v>253</v>
      </c>
      <c r="E55" s="169" t="s">
        <v>245</v>
      </c>
      <c r="F55" s="346" t="s">
        <v>245</v>
      </c>
      <c r="G55" s="346" t="s">
        <v>245</v>
      </c>
      <c r="H55" s="346" t="s">
        <v>245</v>
      </c>
      <c r="I55" s="346" t="s">
        <v>245</v>
      </c>
      <c r="J55" s="346" t="s">
        <v>245</v>
      </c>
    </row>
    <row r="56" spans="1:10" ht="13.8" thickBot="1" x14ac:dyDescent="0.3">
      <c r="A56" s="344">
        <v>2</v>
      </c>
      <c r="B56" s="350" t="s">
        <v>11</v>
      </c>
      <c r="C56" s="169" t="s">
        <v>245</v>
      </c>
      <c r="D56" s="169" t="s">
        <v>253</v>
      </c>
      <c r="E56" s="169" t="s">
        <v>245</v>
      </c>
      <c r="F56" s="346" t="s">
        <v>245</v>
      </c>
      <c r="G56" s="346" t="s">
        <v>245</v>
      </c>
      <c r="H56" s="346" t="s">
        <v>245</v>
      </c>
      <c r="I56" s="346" t="s">
        <v>245</v>
      </c>
      <c r="J56" s="346" t="s">
        <v>245</v>
      </c>
    </row>
    <row r="57" spans="1:10" ht="13.8" thickBot="1" x14ac:dyDescent="0.3">
      <c r="A57" s="344">
        <v>3</v>
      </c>
      <c r="B57" s="350" t="s">
        <v>201</v>
      </c>
      <c r="C57" s="169" t="s">
        <v>245</v>
      </c>
      <c r="D57" s="169" t="s">
        <v>253</v>
      </c>
      <c r="E57" s="169" t="s">
        <v>245</v>
      </c>
      <c r="F57" s="346" t="s">
        <v>245</v>
      </c>
      <c r="G57" s="346" t="s">
        <v>245</v>
      </c>
      <c r="H57" s="346" t="s">
        <v>245</v>
      </c>
      <c r="I57" s="346" t="s">
        <v>245</v>
      </c>
      <c r="J57" s="346" t="s">
        <v>245</v>
      </c>
    </row>
    <row r="58" spans="1:10" ht="13.8" thickBot="1" x14ac:dyDescent="0.3">
      <c r="A58" s="344">
        <v>4</v>
      </c>
      <c r="B58" s="350" t="s">
        <v>202</v>
      </c>
      <c r="C58" s="304" t="s">
        <v>272</v>
      </c>
      <c r="D58" s="304" t="s">
        <v>273</v>
      </c>
      <c r="E58" s="304" t="s">
        <v>274</v>
      </c>
      <c r="F58" s="346" t="s">
        <v>275</v>
      </c>
      <c r="G58" s="346" t="s">
        <v>275</v>
      </c>
      <c r="H58" s="346" t="s">
        <v>275</v>
      </c>
      <c r="I58" s="346" t="s">
        <v>272</v>
      </c>
      <c r="J58" s="346" t="s">
        <v>274</v>
      </c>
    </row>
    <row r="59" spans="1:10" ht="13.8" thickBot="1" x14ac:dyDescent="0.3">
      <c r="A59" s="344">
        <v>5</v>
      </c>
      <c r="B59" s="350" t="s">
        <v>203</v>
      </c>
      <c r="C59" s="169" t="s">
        <v>245</v>
      </c>
      <c r="D59" s="169" t="s">
        <v>253</v>
      </c>
      <c r="E59" s="169" t="s">
        <v>245</v>
      </c>
      <c r="F59" s="346" t="s">
        <v>245</v>
      </c>
      <c r="G59" s="346" t="s">
        <v>245</v>
      </c>
      <c r="H59" s="346" t="s">
        <v>245</v>
      </c>
      <c r="I59" s="346" t="s">
        <v>245</v>
      </c>
      <c r="J59" s="346" t="s">
        <v>245</v>
      </c>
    </row>
    <row r="60" spans="1:10" ht="13.8" thickBot="1" x14ac:dyDescent="0.3">
      <c r="A60" s="344">
        <v>6</v>
      </c>
      <c r="B60" s="350" t="s">
        <v>204</v>
      </c>
      <c r="C60" s="169" t="s">
        <v>245</v>
      </c>
      <c r="D60" s="169" t="s">
        <v>253</v>
      </c>
      <c r="E60" s="169" t="s">
        <v>245</v>
      </c>
      <c r="F60" s="346" t="s">
        <v>245</v>
      </c>
      <c r="G60" s="346" t="s">
        <v>245</v>
      </c>
      <c r="H60" s="346" t="s">
        <v>245</v>
      </c>
      <c r="I60" s="346" t="s">
        <v>245</v>
      </c>
      <c r="J60" s="346" t="s">
        <v>245</v>
      </c>
    </row>
    <row r="61" spans="1:10" ht="13.8" thickBot="1" x14ac:dyDescent="0.3">
      <c r="A61" s="344">
        <v>7</v>
      </c>
      <c r="B61" s="350" t="s">
        <v>205</v>
      </c>
      <c r="C61" s="169" t="s">
        <v>276</v>
      </c>
      <c r="D61" s="169" t="s">
        <v>277</v>
      </c>
      <c r="E61" s="169" t="s">
        <v>245</v>
      </c>
      <c r="F61" s="346" t="s">
        <v>277</v>
      </c>
      <c r="G61" s="346" t="s">
        <v>277</v>
      </c>
      <c r="H61" s="346" t="s">
        <v>277</v>
      </c>
      <c r="I61" s="346" t="s">
        <v>276</v>
      </c>
      <c r="J61" s="346" t="s">
        <v>245</v>
      </c>
    </row>
    <row r="62" spans="1:10" ht="40.200000000000003" thickBot="1" x14ac:dyDescent="0.3">
      <c r="A62" s="344">
        <v>8</v>
      </c>
      <c r="B62" s="350" t="s">
        <v>208</v>
      </c>
      <c r="C62" s="169" t="s">
        <v>278</v>
      </c>
      <c r="D62" s="169" t="s">
        <v>279</v>
      </c>
      <c r="E62" s="169" t="s">
        <v>280</v>
      </c>
      <c r="F62" s="346">
        <v>12</v>
      </c>
      <c r="G62" s="346">
        <v>12</v>
      </c>
      <c r="H62" s="346">
        <v>12</v>
      </c>
      <c r="I62" s="346">
        <v>6</v>
      </c>
      <c r="J62" s="346" t="s">
        <v>281</v>
      </c>
    </row>
    <row r="63" spans="1:10" ht="13.8" thickBot="1" x14ac:dyDescent="0.3">
      <c r="A63" s="344">
        <v>9</v>
      </c>
      <c r="B63" s="350" t="s">
        <v>219</v>
      </c>
      <c r="C63" s="169" t="s">
        <v>245</v>
      </c>
      <c r="D63" s="169" t="s">
        <v>282</v>
      </c>
      <c r="E63" s="169" t="s">
        <v>282</v>
      </c>
      <c r="F63" s="346" t="s">
        <v>282</v>
      </c>
      <c r="G63" s="346" t="s">
        <v>282</v>
      </c>
      <c r="H63" s="346" t="s">
        <v>282</v>
      </c>
      <c r="I63" s="346" t="s">
        <v>245</v>
      </c>
      <c r="J63" s="346" t="s">
        <v>282</v>
      </c>
    </row>
    <row r="64" spans="1:10" ht="13.8" thickBot="1" x14ac:dyDescent="0.3">
      <c r="A64" s="344">
        <v>10</v>
      </c>
      <c r="B64" s="350" t="s">
        <v>221</v>
      </c>
      <c r="C64" s="169" t="s">
        <v>245</v>
      </c>
      <c r="D64" s="169" t="s">
        <v>253</v>
      </c>
      <c r="E64" s="169"/>
      <c r="F64" s="346" t="s">
        <v>245</v>
      </c>
      <c r="G64" s="346" t="s">
        <v>245</v>
      </c>
      <c r="H64" s="346" t="s">
        <v>245</v>
      </c>
      <c r="I64" s="346" t="s">
        <v>245</v>
      </c>
      <c r="J64" s="346"/>
    </row>
    <row r="65" spans="1:18" ht="27" thickBot="1" x14ac:dyDescent="0.3">
      <c r="A65" s="344">
        <v>11</v>
      </c>
      <c r="B65" s="350" t="s">
        <v>223</v>
      </c>
      <c r="C65" s="169" t="s">
        <v>283</v>
      </c>
      <c r="D65" s="169" t="s">
        <v>253</v>
      </c>
      <c r="E65" s="169" t="s">
        <v>284</v>
      </c>
      <c r="F65" s="346" t="s">
        <v>285</v>
      </c>
      <c r="G65" s="346" t="s">
        <v>286</v>
      </c>
      <c r="H65" s="346" t="s">
        <v>287</v>
      </c>
      <c r="I65" s="346" t="s">
        <v>283</v>
      </c>
      <c r="J65" s="346" t="s">
        <v>288</v>
      </c>
    </row>
    <row r="66" spans="1:18" ht="13.8" thickBot="1" x14ac:dyDescent="0.3">
      <c r="A66" s="344">
        <v>12</v>
      </c>
      <c r="B66" s="350" t="s">
        <v>234</v>
      </c>
      <c r="C66" s="169" t="s">
        <v>245</v>
      </c>
      <c r="D66" s="169" t="s">
        <v>253</v>
      </c>
      <c r="E66" s="169" t="s">
        <v>245</v>
      </c>
      <c r="F66" s="346" t="s">
        <v>289</v>
      </c>
      <c r="G66" s="346" t="s">
        <v>289</v>
      </c>
      <c r="H66" s="346" t="s">
        <v>289</v>
      </c>
      <c r="I66" s="346" t="s">
        <v>245</v>
      </c>
      <c r="J66" s="346" t="s">
        <v>245</v>
      </c>
    </row>
    <row r="67" spans="1:18" ht="13.8" thickBot="1" x14ac:dyDescent="0.3">
      <c r="A67" s="344">
        <v>13</v>
      </c>
      <c r="B67" s="350" t="s">
        <v>236</v>
      </c>
      <c r="C67" s="169" t="s">
        <v>245</v>
      </c>
      <c r="D67" s="169"/>
      <c r="E67" s="169" t="s">
        <v>245</v>
      </c>
      <c r="F67" s="346" t="s">
        <v>290</v>
      </c>
      <c r="G67" s="346" t="s">
        <v>290</v>
      </c>
      <c r="H67" s="346" t="s">
        <v>290</v>
      </c>
      <c r="I67" s="346" t="s">
        <v>245</v>
      </c>
      <c r="J67" s="346" t="s">
        <v>245</v>
      </c>
    </row>
    <row r="68" spans="1:18" ht="13.8" thickBot="1" x14ac:dyDescent="0.3">
      <c r="A68" s="344">
        <v>14</v>
      </c>
      <c r="B68" s="350" t="s">
        <v>239</v>
      </c>
      <c r="C68" s="169"/>
      <c r="D68" s="169"/>
      <c r="E68" s="169"/>
      <c r="F68" s="346"/>
      <c r="G68" s="346"/>
      <c r="H68" s="346"/>
      <c r="I68" s="346"/>
      <c r="J68" s="346"/>
    </row>
    <row r="69" spans="1:18" ht="13.8" thickBot="1" x14ac:dyDescent="0.3"/>
    <row r="70" spans="1:18" ht="13.8" thickBot="1" x14ac:dyDescent="0.3">
      <c r="B70" s="298" t="s">
        <v>47</v>
      </c>
    </row>
    <row r="71" spans="1:18" s="52" customFormat="1" ht="13.8" thickBot="1" x14ac:dyDescent="0.3">
      <c r="A71" s="299" t="s">
        <v>0</v>
      </c>
      <c r="B71" s="300" t="s">
        <v>1</v>
      </c>
      <c r="C71" s="300" t="s">
        <v>135</v>
      </c>
      <c r="D71" s="300" t="s">
        <v>136</v>
      </c>
      <c r="E71" s="300" t="s">
        <v>137</v>
      </c>
      <c r="F71" s="300" t="s">
        <v>138</v>
      </c>
      <c r="G71" s="300" t="s">
        <v>291</v>
      </c>
      <c r="H71" s="300" t="s">
        <v>139</v>
      </c>
      <c r="I71" s="300" t="s">
        <v>140</v>
      </c>
      <c r="J71" s="300" t="s">
        <v>141</v>
      </c>
      <c r="K71" s="300" t="s">
        <v>292</v>
      </c>
      <c r="L71" s="299" t="s">
        <v>147</v>
      </c>
      <c r="M71" s="300" t="s">
        <v>142</v>
      </c>
      <c r="N71" s="300" t="s">
        <v>143</v>
      </c>
      <c r="O71" s="300" t="s">
        <v>293</v>
      </c>
      <c r="P71" s="300" t="s">
        <v>144</v>
      </c>
      <c r="Q71" s="300" t="s">
        <v>294</v>
      </c>
      <c r="R71" s="300" t="s">
        <v>145</v>
      </c>
    </row>
    <row r="72" spans="1:18" s="53" customFormat="1" ht="13.8" thickBot="1" x14ac:dyDescent="0.3">
      <c r="A72" s="224">
        <v>1</v>
      </c>
      <c r="B72" s="301" t="s">
        <v>10</v>
      </c>
      <c r="C72" s="346" t="s">
        <v>295</v>
      </c>
      <c r="D72" s="346" t="s">
        <v>296</v>
      </c>
      <c r="E72" s="346" t="s">
        <v>253</v>
      </c>
      <c r="F72" s="346" t="s">
        <v>297</v>
      </c>
      <c r="G72" s="346" t="s">
        <v>295</v>
      </c>
      <c r="H72" s="346" t="s">
        <v>297</v>
      </c>
      <c r="I72" s="346" t="s">
        <v>298</v>
      </c>
      <c r="J72" s="346" t="s">
        <v>299</v>
      </c>
      <c r="K72" s="346" t="s">
        <v>253</v>
      </c>
      <c r="L72" s="346" t="s">
        <v>296</v>
      </c>
      <c r="M72" s="346" t="s">
        <v>300</v>
      </c>
      <c r="N72" s="346" t="s">
        <v>97</v>
      </c>
      <c r="O72" s="346" t="s">
        <v>253</v>
      </c>
      <c r="P72" s="346" t="s">
        <v>299</v>
      </c>
      <c r="Q72" s="346" t="s">
        <v>301</v>
      </c>
      <c r="R72" s="346" t="s">
        <v>300</v>
      </c>
    </row>
    <row r="73" spans="1:18" s="53" customFormat="1" ht="13.8" thickBot="1" x14ac:dyDescent="0.3">
      <c r="A73" s="224">
        <v>2</v>
      </c>
      <c r="B73" s="301" t="s">
        <v>11</v>
      </c>
      <c r="C73" s="346" t="s">
        <v>295</v>
      </c>
      <c r="D73" s="346" t="s">
        <v>296</v>
      </c>
      <c r="E73" s="346" t="s">
        <v>253</v>
      </c>
      <c r="F73" s="346" t="s">
        <v>97</v>
      </c>
      <c r="G73" s="346" t="s">
        <v>295</v>
      </c>
      <c r="H73" s="346" t="s">
        <v>97</v>
      </c>
      <c r="I73" s="346" t="s">
        <v>298</v>
      </c>
      <c r="J73" s="346" t="s">
        <v>299</v>
      </c>
      <c r="K73" s="346" t="s">
        <v>253</v>
      </c>
      <c r="L73" s="346" t="s">
        <v>296</v>
      </c>
      <c r="M73" s="346" t="s">
        <v>300</v>
      </c>
      <c r="N73" s="346" t="s">
        <v>97</v>
      </c>
      <c r="O73" s="346" t="s">
        <v>253</v>
      </c>
      <c r="P73" s="346" t="s">
        <v>299</v>
      </c>
      <c r="Q73" s="346" t="s">
        <v>253</v>
      </c>
      <c r="R73" s="346" t="s">
        <v>300</v>
      </c>
    </row>
    <row r="74" spans="1:18" s="53" customFormat="1" ht="13.8" thickBot="1" x14ac:dyDescent="0.3">
      <c r="A74" s="224">
        <v>3</v>
      </c>
      <c r="B74" s="301" t="s">
        <v>302</v>
      </c>
      <c r="C74" s="346" t="s">
        <v>303</v>
      </c>
      <c r="D74" s="346" t="s">
        <v>296</v>
      </c>
      <c r="E74" s="346" t="s">
        <v>253</v>
      </c>
      <c r="F74" s="346" t="s">
        <v>97</v>
      </c>
      <c r="G74" s="346" t="s">
        <v>269</v>
      </c>
      <c r="H74" s="346" t="s">
        <v>97</v>
      </c>
      <c r="I74" s="346" t="s">
        <v>298</v>
      </c>
      <c r="J74" s="346" t="s">
        <v>304</v>
      </c>
      <c r="K74" s="346" t="s">
        <v>253</v>
      </c>
      <c r="L74" s="346" t="s">
        <v>296</v>
      </c>
      <c r="M74" s="346" t="s">
        <v>300</v>
      </c>
      <c r="N74" s="346" t="s">
        <v>97</v>
      </c>
      <c r="O74" s="346" t="s">
        <v>253</v>
      </c>
      <c r="P74" s="346" t="s">
        <v>304</v>
      </c>
      <c r="Q74" s="346" t="s">
        <v>253</v>
      </c>
      <c r="R74" s="346" t="s">
        <v>300</v>
      </c>
    </row>
    <row r="75" spans="1:18" s="53" customFormat="1" ht="13.8" thickBot="1" x14ac:dyDescent="0.3">
      <c r="A75" s="224">
        <v>4</v>
      </c>
      <c r="B75" s="301" t="s">
        <v>202</v>
      </c>
      <c r="C75" s="346" t="s">
        <v>305</v>
      </c>
      <c r="D75" s="346" t="s">
        <v>296</v>
      </c>
      <c r="E75" s="346" t="s">
        <v>253</v>
      </c>
      <c r="F75" s="346" t="s">
        <v>97</v>
      </c>
      <c r="G75" s="346" t="s">
        <v>305</v>
      </c>
      <c r="H75" s="346" t="s">
        <v>306</v>
      </c>
      <c r="I75" s="346" t="s">
        <v>298</v>
      </c>
      <c r="J75" s="346" t="s">
        <v>295</v>
      </c>
      <c r="K75" s="346" t="s">
        <v>253</v>
      </c>
      <c r="L75" s="346" t="s">
        <v>258</v>
      </c>
      <c r="M75" s="346" t="s">
        <v>300</v>
      </c>
      <c r="N75" s="346" t="s">
        <v>97</v>
      </c>
      <c r="O75" s="346" t="s">
        <v>253</v>
      </c>
      <c r="P75" s="346" t="s">
        <v>295</v>
      </c>
      <c r="Q75" s="346" t="s">
        <v>307</v>
      </c>
      <c r="R75" s="346" t="s">
        <v>300</v>
      </c>
    </row>
    <row r="76" spans="1:18" s="53" customFormat="1" ht="13.8" thickBot="1" x14ac:dyDescent="0.3">
      <c r="A76" s="224">
        <v>5</v>
      </c>
      <c r="B76" s="301" t="s">
        <v>203</v>
      </c>
      <c r="C76" s="346" t="s">
        <v>295</v>
      </c>
      <c r="D76" s="346" t="s">
        <v>296</v>
      </c>
      <c r="E76" s="346" t="s">
        <v>253</v>
      </c>
      <c r="F76" s="346" t="s">
        <v>97</v>
      </c>
      <c r="G76" s="346" t="s">
        <v>295</v>
      </c>
      <c r="H76" s="346" t="s">
        <v>97</v>
      </c>
      <c r="I76" s="346" t="s">
        <v>308</v>
      </c>
      <c r="J76" s="346" t="s">
        <v>295</v>
      </c>
      <c r="K76" s="346" t="s">
        <v>253</v>
      </c>
      <c r="L76" s="346" t="s">
        <v>296</v>
      </c>
      <c r="M76" s="346" t="s">
        <v>300</v>
      </c>
      <c r="N76" s="346" t="s">
        <v>97</v>
      </c>
      <c r="O76" s="346" t="s">
        <v>253</v>
      </c>
      <c r="P76" s="346" t="s">
        <v>295</v>
      </c>
      <c r="Q76" s="346" t="s">
        <v>253</v>
      </c>
      <c r="R76" s="346" t="s">
        <v>300</v>
      </c>
    </row>
    <row r="77" spans="1:18" s="53" customFormat="1" ht="13.8" thickBot="1" x14ac:dyDescent="0.3">
      <c r="A77" s="224">
        <v>6</v>
      </c>
      <c r="B77" s="301" t="s">
        <v>204</v>
      </c>
      <c r="C77" s="346" t="s">
        <v>309</v>
      </c>
      <c r="D77" s="346" t="s">
        <v>296</v>
      </c>
      <c r="E77" s="346" t="s">
        <v>253</v>
      </c>
      <c r="F77" s="346" t="s">
        <v>97</v>
      </c>
      <c r="G77" s="346" t="s">
        <v>309</v>
      </c>
      <c r="H77" s="346" t="s">
        <v>97</v>
      </c>
      <c r="I77" s="346" t="s">
        <v>298</v>
      </c>
      <c r="J77" s="346" t="s">
        <v>295</v>
      </c>
      <c r="K77" s="346" t="s">
        <v>253</v>
      </c>
      <c r="L77" s="346" t="s">
        <v>296</v>
      </c>
      <c r="M77" s="346" t="s">
        <v>300</v>
      </c>
      <c r="N77" s="346" t="s">
        <v>97</v>
      </c>
      <c r="O77" s="346" t="s">
        <v>253</v>
      </c>
      <c r="P77" s="346" t="s">
        <v>295</v>
      </c>
      <c r="Q77" s="346" t="s">
        <v>253</v>
      </c>
      <c r="R77" s="346" t="s">
        <v>300</v>
      </c>
    </row>
    <row r="78" spans="1:18" s="53" customFormat="1" ht="13.8" thickBot="1" x14ac:dyDescent="0.3">
      <c r="A78" s="224">
        <v>7</v>
      </c>
      <c r="B78" s="301" t="s">
        <v>310</v>
      </c>
      <c r="C78" s="346" t="s">
        <v>311</v>
      </c>
      <c r="D78" s="346" t="s">
        <v>296</v>
      </c>
      <c r="E78" s="346" t="s">
        <v>253</v>
      </c>
      <c r="F78" s="346" t="s">
        <v>312</v>
      </c>
      <c r="G78" s="346" t="s">
        <v>311</v>
      </c>
      <c r="H78" s="346" t="s">
        <v>313</v>
      </c>
      <c r="I78" s="346" t="s">
        <v>298</v>
      </c>
      <c r="J78" s="346" t="s">
        <v>311</v>
      </c>
      <c r="K78" s="346" t="s">
        <v>314</v>
      </c>
      <c r="L78" s="346" t="s">
        <v>296</v>
      </c>
      <c r="M78" s="346" t="s">
        <v>300</v>
      </c>
      <c r="N78" s="346" t="s">
        <v>97</v>
      </c>
      <c r="O78" s="346" t="s">
        <v>253</v>
      </c>
      <c r="P78" s="346" t="s">
        <v>311</v>
      </c>
      <c r="Q78" s="346" t="s">
        <v>253</v>
      </c>
      <c r="R78" s="346" t="s">
        <v>300</v>
      </c>
    </row>
    <row r="79" spans="1:18" s="53" customFormat="1" ht="27" thickBot="1" x14ac:dyDescent="0.3">
      <c r="A79" s="224">
        <v>8</v>
      </c>
      <c r="B79" s="301" t="s">
        <v>208</v>
      </c>
      <c r="C79" s="346">
        <v>13</v>
      </c>
      <c r="D79" s="346" t="s">
        <v>296</v>
      </c>
      <c r="E79" s="346" t="s">
        <v>253</v>
      </c>
      <c r="F79" s="346" t="s">
        <v>315</v>
      </c>
      <c r="G79" s="346">
        <v>9</v>
      </c>
      <c r="H79" s="346" t="s">
        <v>316</v>
      </c>
      <c r="I79" s="346" t="s">
        <v>298</v>
      </c>
      <c r="J79" s="346" t="s">
        <v>317</v>
      </c>
      <c r="K79" s="346" t="s">
        <v>253</v>
      </c>
      <c r="L79" s="346" t="s">
        <v>296</v>
      </c>
      <c r="M79" s="346" t="s">
        <v>300</v>
      </c>
      <c r="N79" s="346" t="s">
        <v>97</v>
      </c>
      <c r="O79" s="346" t="s">
        <v>318</v>
      </c>
      <c r="P79" s="346" t="s">
        <v>317</v>
      </c>
      <c r="Q79" s="346" t="s">
        <v>253</v>
      </c>
      <c r="R79" s="346" t="s">
        <v>300</v>
      </c>
    </row>
    <row r="80" spans="1:18" s="53" customFormat="1" ht="40.200000000000003" thickBot="1" x14ac:dyDescent="0.3">
      <c r="A80" s="224">
        <v>9</v>
      </c>
      <c r="B80" s="301" t="s">
        <v>219</v>
      </c>
      <c r="C80" s="346" t="s">
        <v>319</v>
      </c>
      <c r="D80" s="346" t="s">
        <v>296</v>
      </c>
      <c r="E80" s="346" t="s">
        <v>245</v>
      </c>
      <c r="F80" s="346" t="s">
        <v>320</v>
      </c>
      <c r="G80" s="346" t="s">
        <v>319</v>
      </c>
      <c r="H80" s="346" t="s">
        <v>321</v>
      </c>
      <c r="I80" s="346" t="s">
        <v>298</v>
      </c>
      <c r="J80" s="346" t="s">
        <v>322</v>
      </c>
      <c r="K80" s="346" t="s">
        <v>253</v>
      </c>
      <c r="L80" s="346" t="s">
        <v>296</v>
      </c>
      <c r="M80" s="346" t="s">
        <v>300</v>
      </c>
      <c r="N80" s="346" t="s">
        <v>323</v>
      </c>
      <c r="O80" s="346" t="s">
        <v>245</v>
      </c>
      <c r="P80" s="346" t="s">
        <v>324</v>
      </c>
      <c r="Q80" s="346" t="s">
        <v>325</v>
      </c>
      <c r="R80" s="346" t="s">
        <v>300</v>
      </c>
    </row>
    <row r="81" spans="1:18" s="53" customFormat="1" ht="13.8" thickBot="1" x14ac:dyDescent="0.3">
      <c r="A81" s="224">
        <v>10</v>
      </c>
      <c r="B81" s="301" t="s">
        <v>326</v>
      </c>
      <c r="C81" s="346" t="s">
        <v>295</v>
      </c>
      <c r="D81" s="346" t="s">
        <v>296</v>
      </c>
      <c r="E81" s="346" t="s">
        <v>245</v>
      </c>
      <c r="F81" s="346" t="s">
        <v>306</v>
      </c>
      <c r="G81" s="346" t="s">
        <v>295</v>
      </c>
      <c r="H81" s="346" t="s">
        <v>97</v>
      </c>
      <c r="I81" s="346" t="s">
        <v>298</v>
      </c>
      <c r="J81" s="346" t="s">
        <v>317</v>
      </c>
      <c r="K81" s="346" t="s">
        <v>253</v>
      </c>
      <c r="L81" s="346" t="s">
        <v>296</v>
      </c>
      <c r="M81" s="346" t="s">
        <v>300</v>
      </c>
      <c r="N81" s="346" t="s">
        <v>97</v>
      </c>
      <c r="O81" s="346" t="s">
        <v>245</v>
      </c>
      <c r="P81" s="346" t="s">
        <v>317</v>
      </c>
      <c r="Q81" s="346" t="s">
        <v>253</v>
      </c>
      <c r="R81" s="346" t="s">
        <v>300</v>
      </c>
    </row>
    <row r="82" spans="1:18" s="53" customFormat="1" ht="27" thickBot="1" x14ac:dyDescent="0.3">
      <c r="A82" s="224">
        <v>11</v>
      </c>
      <c r="B82" s="301" t="s">
        <v>223</v>
      </c>
      <c r="C82" s="346" t="s">
        <v>327</v>
      </c>
      <c r="D82" s="346" t="s">
        <v>296</v>
      </c>
      <c r="E82" s="346" t="s">
        <v>245</v>
      </c>
      <c r="F82" s="346" t="s">
        <v>328</v>
      </c>
      <c r="G82" s="346" t="s">
        <v>329</v>
      </c>
      <c r="H82" s="346" t="s">
        <v>330</v>
      </c>
      <c r="I82" s="346" t="s">
        <v>298</v>
      </c>
      <c r="J82" s="346" t="s">
        <v>331</v>
      </c>
      <c r="K82" s="346" t="s">
        <v>253</v>
      </c>
      <c r="L82" s="346" t="s">
        <v>296</v>
      </c>
      <c r="M82" s="346" t="s">
        <v>300</v>
      </c>
      <c r="N82" s="346" t="s">
        <v>97</v>
      </c>
      <c r="O82" s="346" t="s">
        <v>245</v>
      </c>
      <c r="P82" s="346" t="s">
        <v>295</v>
      </c>
      <c r="Q82" s="346" t="s">
        <v>332</v>
      </c>
      <c r="R82" s="346" t="s">
        <v>300</v>
      </c>
    </row>
    <row r="83" spans="1:18" s="53" customFormat="1" ht="13.8" thickBot="1" x14ac:dyDescent="0.3">
      <c r="A83" s="224">
        <v>12</v>
      </c>
      <c r="B83" s="301" t="s">
        <v>333</v>
      </c>
      <c r="C83" s="346" t="s">
        <v>295</v>
      </c>
      <c r="D83" s="346" t="s">
        <v>296</v>
      </c>
      <c r="E83" s="346" t="s">
        <v>245</v>
      </c>
      <c r="F83" s="346" t="s">
        <v>97</v>
      </c>
      <c r="G83" s="346" t="s">
        <v>295</v>
      </c>
      <c r="H83" s="346" t="s">
        <v>97</v>
      </c>
      <c r="I83" s="346" t="s">
        <v>298</v>
      </c>
      <c r="J83" s="346" t="s">
        <v>295</v>
      </c>
      <c r="K83" s="346" t="s">
        <v>253</v>
      </c>
      <c r="L83" s="346" t="s">
        <v>296</v>
      </c>
      <c r="M83" s="346" t="s">
        <v>300</v>
      </c>
      <c r="N83" s="346" t="s">
        <v>97</v>
      </c>
      <c r="O83" s="346" t="s">
        <v>245</v>
      </c>
      <c r="P83" s="346" t="s">
        <v>295</v>
      </c>
      <c r="Q83" s="346" t="s">
        <v>253</v>
      </c>
      <c r="R83" s="346" t="s">
        <v>300</v>
      </c>
    </row>
    <row r="84" spans="1:18" s="53" customFormat="1" ht="27" thickBot="1" x14ac:dyDescent="0.3">
      <c r="A84" s="224">
        <v>13</v>
      </c>
      <c r="B84" s="301" t="s">
        <v>236</v>
      </c>
      <c r="C84" s="346" t="s">
        <v>305</v>
      </c>
      <c r="D84" s="346" t="s">
        <v>334</v>
      </c>
      <c r="E84" s="346" t="s">
        <v>305</v>
      </c>
      <c r="F84" s="346" t="s">
        <v>306</v>
      </c>
      <c r="G84" s="346" t="s">
        <v>305</v>
      </c>
      <c r="H84" s="346" t="s">
        <v>306</v>
      </c>
      <c r="I84" s="346" t="s">
        <v>335</v>
      </c>
      <c r="J84" s="346" t="s">
        <v>336</v>
      </c>
      <c r="K84" s="346" t="s">
        <v>258</v>
      </c>
      <c r="L84" s="346" t="s">
        <v>258</v>
      </c>
      <c r="M84" s="346" t="s">
        <v>258</v>
      </c>
      <c r="N84" s="346" t="s">
        <v>258</v>
      </c>
      <c r="O84" s="346" t="s">
        <v>258</v>
      </c>
      <c r="P84" s="346" t="s">
        <v>317</v>
      </c>
      <c r="Q84" s="346" t="s">
        <v>253</v>
      </c>
      <c r="R84" s="346" t="s">
        <v>258</v>
      </c>
    </row>
    <row r="85" spans="1:18" s="54" customFormat="1" ht="27" thickBot="1" x14ac:dyDescent="0.3">
      <c r="A85" s="224">
        <v>14</v>
      </c>
      <c r="B85" s="301" t="s">
        <v>239</v>
      </c>
      <c r="C85" s="346" t="s">
        <v>337</v>
      </c>
      <c r="D85" s="346"/>
      <c r="E85" s="346"/>
      <c r="F85" s="346"/>
      <c r="G85" s="346" t="s">
        <v>337</v>
      </c>
      <c r="H85" s="346"/>
      <c r="I85" s="346"/>
      <c r="J85" s="346"/>
      <c r="K85" s="346"/>
      <c r="L85" s="346"/>
      <c r="M85" s="346"/>
      <c r="N85" s="346"/>
      <c r="O85" s="346"/>
      <c r="P85" s="346"/>
      <c r="Q85" s="346"/>
      <c r="R85" s="346"/>
    </row>
    <row r="86" spans="1:18" ht="13.8" thickBot="1" x14ac:dyDescent="0.3"/>
    <row r="87" spans="1:18" ht="13.8" thickBot="1" x14ac:dyDescent="0.3">
      <c r="B87" s="298" t="s">
        <v>27</v>
      </c>
    </row>
    <row r="88" spans="1:18" ht="13.8" thickBot="1" x14ac:dyDescent="0.3">
      <c r="A88" s="299" t="s">
        <v>0</v>
      </c>
      <c r="B88" s="300" t="s">
        <v>175</v>
      </c>
      <c r="C88" s="300" t="s">
        <v>12</v>
      </c>
      <c r="D88" s="300" t="s">
        <v>14</v>
      </c>
      <c r="E88" s="300" t="s">
        <v>13</v>
      </c>
      <c r="F88" s="300" t="s">
        <v>9</v>
      </c>
      <c r="G88" s="300" t="s">
        <v>164</v>
      </c>
      <c r="H88" s="300" t="s">
        <v>2</v>
      </c>
      <c r="I88" s="300" t="s">
        <v>3</v>
      </c>
      <c r="J88" s="300" t="s">
        <v>148</v>
      </c>
      <c r="K88" s="300" t="s">
        <v>96</v>
      </c>
      <c r="L88" s="300" t="s">
        <v>4</v>
      </c>
      <c r="M88" s="299" t="s">
        <v>5</v>
      </c>
      <c r="N88" s="300" t="s">
        <v>6</v>
      </c>
      <c r="O88" s="300" t="s">
        <v>7</v>
      </c>
      <c r="P88" s="55" t="s">
        <v>8</v>
      </c>
    </row>
    <row r="89" spans="1:18" ht="13.8" thickBot="1" x14ac:dyDescent="0.3">
      <c r="A89" s="224">
        <v>1</v>
      </c>
      <c r="B89" s="301" t="s">
        <v>10</v>
      </c>
      <c r="C89" s="302" t="s">
        <v>249</v>
      </c>
      <c r="D89" s="302" t="s">
        <v>249</v>
      </c>
      <c r="E89" s="302" t="s">
        <v>249</v>
      </c>
      <c r="F89" s="169" t="s">
        <v>249</v>
      </c>
      <c r="G89" s="169" t="s">
        <v>251</v>
      </c>
      <c r="H89" s="169" t="s">
        <v>249</v>
      </c>
      <c r="I89" s="169" t="s">
        <v>249</v>
      </c>
      <c r="J89" s="169" t="s">
        <v>251</v>
      </c>
      <c r="K89" s="169" t="s">
        <v>249</v>
      </c>
      <c r="L89" s="169" t="s">
        <v>249</v>
      </c>
      <c r="M89" s="169" t="s">
        <v>249</v>
      </c>
      <c r="N89" s="169" t="s">
        <v>249</v>
      </c>
      <c r="O89" s="169" t="s">
        <v>249</v>
      </c>
      <c r="P89" s="56" t="s">
        <v>249</v>
      </c>
    </row>
    <row r="90" spans="1:18" ht="13.8" thickBot="1" x14ac:dyDescent="0.3">
      <c r="A90" s="224">
        <v>2</v>
      </c>
      <c r="B90" s="301" t="s">
        <v>11</v>
      </c>
      <c r="C90" s="302" t="s">
        <v>252</v>
      </c>
      <c r="D90" s="302" t="s">
        <v>252</v>
      </c>
      <c r="E90" s="302" t="s">
        <v>252</v>
      </c>
      <c r="F90" s="169" t="s">
        <v>252</v>
      </c>
      <c r="G90" s="169" t="s">
        <v>252</v>
      </c>
      <c r="H90" s="169" t="s">
        <v>252</v>
      </c>
      <c r="I90" s="169" t="s">
        <v>252</v>
      </c>
      <c r="J90" s="169" t="s">
        <v>252</v>
      </c>
      <c r="K90" s="169" t="s">
        <v>252</v>
      </c>
      <c r="L90" s="169" t="s">
        <v>252</v>
      </c>
      <c r="M90" s="169" t="s">
        <v>252</v>
      </c>
      <c r="N90" s="169" t="s">
        <v>252</v>
      </c>
      <c r="O90" s="169" t="s">
        <v>252</v>
      </c>
      <c r="P90" s="56" t="s">
        <v>252</v>
      </c>
    </row>
    <row r="91" spans="1:18" ht="27" thickBot="1" x14ac:dyDescent="0.3">
      <c r="A91" s="224">
        <v>3</v>
      </c>
      <c r="B91" s="301" t="s">
        <v>201</v>
      </c>
      <c r="C91" s="302" t="s">
        <v>252</v>
      </c>
      <c r="D91" s="302" t="s">
        <v>252</v>
      </c>
      <c r="E91" s="302" t="s">
        <v>253</v>
      </c>
      <c r="F91" s="169" t="s">
        <v>254</v>
      </c>
      <c r="G91" s="169" t="s">
        <v>255</v>
      </c>
      <c r="H91" s="169" t="s">
        <v>256</v>
      </c>
      <c r="I91" s="169" t="s">
        <v>252</v>
      </c>
      <c r="J91" s="169" t="s">
        <v>254</v>
      </c>
      <c r="K91" s="169" t="s">
        <v>254</v>
      </c>
      <c r="L91" s="169" t="s">
        <v>254</v>
      </c>
      <c r="M91" s="169" t="s">
        <v>253</v>
      </c>
      <c r="N91" s="169" t="s">
        <v>254</v>
      </c>
      <c r="O91" s="169" t="s">
        <v>338</v>
      </c>
      <c r="P91" s="56" t="s">
        <v>339</v>
      </c>
    </row>
    <row r="92" spans="1:18" ht="13.8" thickBot="1" x14ac:dyDescent="0.3">
      <c r="A92" s="240">
        <v>4</v>
      </c>
      <c r="B92" s="301" t="s">
        <v>202</v>
      </c>
      <c r="C92" s="303" t="s">
        <v>252</v>
      </c>
      <c r="D92" s="303" t="s">
        <v>252</v>
      </c>
      <c r="E92" s="303" t="s">
        <v>253</v>
      </c>
      <c r="F92" s="304" t="s">
        <v>254</v>
      </c>
      <c r="G92" s="304" t="s">
        <v>258</v>
      </c>
      <c r="H92" s="304" t="s">
        <v>259</v>
      </c>
      <c r="I92" s="304" t="s">
        <v>252</v>
      </c>
      <c r="J92" s="304" t="s">
        <v>258</v>
      </c>
      <c r="K92" s="304" t="s">
        <v>254</v>
      </c>
      <c r="L92" s="304" t="s">
        <v>254</v>
      </c>
      <c r="M92" s="304" t="s">
        <v>253</v>
      </c>
      <c r="N92" s="304" t="s">
        <v>254</v>
      </c>
      <c r="O92" s="169" t="s">
        <v>253</v>
      </c>
      <c r="P92" s="56" t="s">
        <v>253</v>
      </c>
    </row>
    <row r="93" spans="1:18" ht="27" thickBot="1" x14ac:dyDescent="0.3">
      <c r="A93" s="240">
        <v>5</v>
      </c>
      <c r="B93" s="301" t="s">
        <v>203</v>
      </c>
      <c r="C93" s="302" t="s">
        <v>252</v>
      </c>
      <c r="D93" s="302" t="s">
        <v>252</v>
      </c>
      <c r="E93" s="302" t="s">
        <v>260</v>
      </c>
      <c r="F93" s="169" t="s">
        <v>254</v>
      </c>
      <c r="G93" s="169" t="s">
        <v>255</v>
      </c>
      <c r="H93" s="169" t="s">
        <v>256</v>
      </c>
      <c r="I93" s="169" t="s">
        <v>252</v>
      </c>
      <c r="J93" s="169" t="s">
        <v>340</v>
      </c>
      <c r="K93" s="169" t="s">
        <v>254</v>
      </c>
      <c r="L93" s="169" t="s">
        <v>254</v>
      </c>
      <c r="M93" s="169" t="s">
        <v>253</v>
      </c>
      <c r="N93" s="169" t="s">
        <v>254</v>
      </c>
      <c r="O93" s="169" t="s">
        <v>253</v>
      </c>
      <c r="P93" s="56" t="s">
        <v>253</v>
      </c>
    </row>
    <row r="94" spans="1:18" ht="13.8" thickBot="1" x14ac:dyDescent="0.3">
      <c r="A94" s="240">
        <v>6</v>
      </c>
      <c r="B94" s="301" t="s">
        <v>204</v>
      </c>
      <c r="C94" s="302" t="s">
        <v>252</v>
      </c>
      <c r="D94" s="302" t="s">
        <v>252</v>
      </c>
      <c r="E94" s="302" t="s">
        <v>253</v>
      </c>
      <c r="F94" s="169" t="s">
        <v>254</v>
      </c>
      <c r="G94" s="169" t="s">
        <v>255</v>
      </c>
      <c r="H94" s="169" t="s">
        <v>256</v>
      </c>
      <c r="I94" s="169" t="s">
        <v>252</v>
      </c>
      <c r="J94" s="169" t="s">
        <v>341</v>
      </c>
      <c r="K94" s="169" t="s">
        <v>254</v>
      </c>
      <c r="L94" s="169" t="s">
        <v>254</v>
      </c>
      <c r="M94" s="169" t="s">
        <v>253</v>
      </c>
      <c r="N94" s="169" t="s">
        <v>254</v>
      </c>
      <c r="O94" s="169" t="s">
        <v>253</v>
      </c>
      <c r="P94" s="56" t="s">
        <v>253</v>
      </c>
    </row>
    <row r="95" spans="1:18" ht="13.8" thickBot="1" x14ac:dyDescent="0.3">
      <c r="A95" s="240">
        <v>7</v>
      </c>
      <c r="B95" s="301" t="s">
        <v>205</v>
      </c>
      <c r="C95" s="302" t="s">
        <v>206</v>
      </c>
      <c r="D95" s="302" t="s">
        <v>206</v>
      </c>
      <c r="E95" s="302" t="s">
        <v>207</v>
      </c>
      <c r="F95" s="169" t="s">
        <v>254</v>
      </c>
      <c r="G95" s="169" t="s">
        <v>261</v>
      </c>
      <c r="H95" s="169" t="s">
        <v>262</v>
      </c>
      <c r="I95" s="169" t="s">
        <v>263</v>
      </c>
      <c r="J95" s="169" t="s">
        <v>254</v>
      </c>
      <c r="K95" s="169" t="s">
        <v>254</v>
      </c>
      <c r="L95" s="169" t="s">
        <v>254</v>
      </c>
      <c r="M95" s="169" t="s">
        <v>253</v>
      </c>
      <c r="N95" s="169" t="s">
        <v>342</v>
      </c>
      <c r="O95" s="169" t="s">
        <v>253</v>
      </c>
      <c r="P95" s="56" t="s">
        <v>253</v>
      </c>
    </row>
    <row r="96" spans="1:18" ht="13.8" thickBot="1" x14ac:dyDescent="0.3">
      <c r="A96" s="240">
        <v>8</v>
      </c>
      <c r="B96" s="301" t="s">
        <v>208</v>
      </c>
      <c r="C96" s="302">
        <v>9</v>
      </c>
      <c r="D96" s="302">
        <v>9</v>
      </c>
      <c r="E96" s="302">
        <v>10</v>
      </c>
      <c r="F96" s="169">
        <v>8</v>
      </c>
      <c r="G96" s="169" t="s">
        <v>270</v>
      </c>
      <c r="H96" s="169" t="s">
        <v>264</v>
      </c>
      <c r="I96" s="169">
        <v>9</v>
      </c>
      <c r="J96" s="169">
        <v>5</v>
      </c>
      <c r="K96" s="169">
        <v>11</v>
      </c>
      <c r="L96" s="169">
        <v>7</v>
      </c>
      <c r="M96" s="169" t="s">
        <v>253</v>
      </c>
      <c r="N96" s="169" t="s">
        <v>343</v>
      </c>
      <c r="O96" s="169">
        <v>10</v>
      </c>
      <c r="P96" s="56">
        <v>7</v>
      </c>
    </row>
    <row r="97" spans="1:16" ht="40.200000000000003" thickBot="1" x14ac:dyDescent="0.3">
      <c r="A97" s="240">
        <v>9</v>
      </c>
      <c r="B97" s="301" t="s">
        <v>219</v>
      </c>
      <c r="C97" s="302" t="s">
        <v>265</v>
      </c>
      <c r="D97" s="302" t="s">
        <v>265</v>
      </c>
      <c r="E97" s="302" t="s">
        <v>253</v>
      </c>
      <c r="F97" s="169" t="s">
        <v>254</v>
      </c>
      <c r="G97" s="169" t="s">
        <v>258</v>
      </c>
      <c r="H97" s="169" t="s">
        <v>255</v>
      </c>
      <c r="I97" s="169" t="s">
        <v>265</v>
      </c>
      <c r="J97" s="169" t="s">
        <v>258</v>
      </c>
      <c r="K97" s="169" t="s">
        <v>254</v>
      </c>
      <c r="L97" s="169" t="s">
        <v>253</v>
      </c>
      <c r="M97" s="169" t="s">
        <v>253</v>
      </c>
      <c r="N97" s="169" t="s">
        <v>344</v>
      </c>
      <c r="O97" s="169" t="s">
        <v>253</v>
      </c>
      <c r="P97" s="56" t="s">
        <v>253</v>
      </c>
    </row>
    <row r="98" spans="1:16" ht="27" thickBot="1" x14ac:dyDescent="0.3">
      <c r="A98" s="240">
        <v>10</v>
      </c>
      <c r="B98" s="301" t="s">
        <v>221</v>
      </c>
      <c r="C98" s="302" t="s">
        <v>266</v>
      </c>
      <c r="D98" s="302" t="s">
        <v>266</v>
      </c>
      <c r="E98" s="302" t="s">
        <v>266</v>
      </c>
      <c r="F98" s="169" t="s">
        <v>266</v>
      </c>
      <c r="G98" s="169" t="s">
        <v>258</v>
      </c>
      <c r="H98" s="169" t="s">
        <v>266</v>
      </c>
      <c r="I98" s="169" t="s">
        <v>266</v>
      </c>
      <c r="J98" s="169" t="s">
        <v>253</v>
      </c>
      <c r="K98" s="169" t="s">
        <v>254</v>
      </c>
      <c r="L98" s="169" t="s">
        <v>253</v>
      </c>
      <c r="M98" s="169" t="s">
        <v>253</v>
      </c>
      <c r="N98" s="169" t="s">
        <v>254</v>
      </c>
      <c r="O98" s="169" t="s">
        <v>253</v>
      </c>
      <c r="P98" s="56" t="s">
        <v>253</v>
      </c>
    </row>
    <row r="99" spans="1:16" ht="27" thickBot="1" x14ac:dyDescent="0.3">
      <c r="A99" s="240">
        <v>11</v>
      </c>
      <c r="B99" s="301" t="s">
        <v>223</v>
      </c>
      <c r="C99" s="302" t="s">
        <v>269</v>
      </c>
      <c r="D99" s="302" t="s">
        <v>345</v>
      </c>
      <c r="E99" s="302" t="s">
        <v>346</v>
      </c>
      <c r="F99" s="169" t="s">
        <v>258</v>
      </c>
      <c r="G99" s="169" t="s">
        <v>258</v>
      </c>
      <c r="H99" s="169" t="s">
        <v>258</v>
      </c>
      <c r="I99" s="169" t="s">
        <v>347</v>
      </c>
      <c r="J99" s="169" t="s">
        <v>258</v>
      </c>
      <c r="K99" s="169" t="s">
        <v>348</v>
      </c>
      <c r="L99" s="169" t="s">
        <v>258</v>
      </c>
      <c r="M99" s="169" t="s">
        <v>253</v>
      </c>
      <c r="N99" s="169" t="s">
        <v>254</v>
      </c>
      <c r="O99" s="169" t="s">
        <v>253</v>
      </c>
      <c r="P99" s="56" t="s">
        <v>253</v>
      </c>
    </row>
    <row r="100" spans="1:16" ht="13.8" thickBot="1" x14ac:dyDescent="0.3">
      <c r="A100" s="240">
        <v>12</v>
      </c>
      <c r="B100" s="301" t="s">
        <v>234</v>
      </c>
      <c r="C100" s="302" t="s">
        <v>253</v>
      </c>
      <c r="D100" s="302" t="s">
        <v>253</v>
      </c>
      <c r="E100" s="302" t="s">
        <v>253</v>
      </c>
      <c r="F100" s="169" t="s">
        <v>254</v>
      </c>
      <c r="G100" s="169" t="s">
        <v>255</v>
      </c>
      <c r="H100" s="169" t="s">
        <v>268</v>
      </c>
      <c r="I100" s="169" t="s">
        <v>253</v>
      </c>
      <c r="J100" s="169" t="s">
        <v>253</v>
      </c>
      <c r="K100" s="169" t="s">
        <v>254</v>
      </c>
      <c r="L100" s="169" t="s">
        <v>254</v>
      </c>
      <c r="M100" s="169" t="s">
        <v>253</v>
      </c>
      <c r="N100" s="169" t="s">
        <v>254</v>
      </c>
      <c r="O100" s="169" t="s">
        <v>253</v>
      </c>
      <c r="P100" s="56" t="s">
        <v>253</v>
      </c>
    </row>
    <row r="101" spans="1:16" ht="13.8" thickBot="1" x14ac:dyDescent="0.3">
      <c r="A101" s="240">
        <v>13</v>
      </c>
      <c r="B101" s="301" t="s">
        <v>236</v>
      </c>
      <c r="C101" s="302" t="s">
        <v>258</v>
      </c>
      <c r="D101" s="302" t="s">
        <v>258</v>
      </c>
      <c r="E101" s="302" t="s">
        <v>258</v>
      </c>
      <c r="F101" s="169" t="s">
        <v>258</v>
      </c>
      <c r="G101" s="169" t="s">
        <v>258</v>
      </c>
      <c r="H101" s="169" t="s">
        <v>258</v>
      </c>
      <c r="I101" s="169" t="s">
        <v>258</v>
      </c>
      <c r="J101" s="169" t="s">
        <v>258</v>
      </c>
      <c r="K101" s="169" t="s">
        <v>348</v>
      </c>
      <c r="L101" s="169" t="s">
        <v>348</v>
      </c>
      <c r="M101" s="169" t="s">
        <v>253</v>
      </c>
      <c r="N101" s="169" t="s">
        <v>258</v>
      </c>
      <c r="O101" s="169" t="s">
        <v>258</v>
      </c>
      <c r="P101" s="56" t="s">
        <v>258</v>
      </c>
    </row>
    <row r="102" spans="1:16" ht="13.8" thickBot="1" x14ac:dyDescent="0.3">
      <c r="A102" s="240">
        <v>14</v>
      </c>
      <c r="B102" s="301" t="s">
        <v>239</v>
      </c>
      <c r="C102" s="302" t="s">
        <v>269</v>
      </c>
      <c r="D102" s="302" t="s">
        <v>270</v>
      </c>
      <c r="E102" s="302" t="s">
        <v>270</v>
      </c>
      <c r="F102" s="169" t="s">
        <v>270</v>
      </c>
      <c r="G102" s="169" t="s">
        <v>270</v>
      </c>
      <c r="H102" s="169" t="s">
        <v>270</v>
      </c>
      <c r="I102" s="169" t="s">
        <v>270</v>
      </c>
      <c r="J102" s="169" t="s">
        <v>258</v>
      </c>
      <c r="K102" s="169" t="s">
        <v>269</v>
      </c>
      <c r="L102" s="169" t="s">
        <v>269</v>
      </c>
      <c r="M102" s="169" t="s">
        <v>269</v>
      </c>
      <c r="N102" s="169" t="s">
        <v>269</v>
      </c>
      <c r="O102" s="169" t="s">
        <v>269</v>
      </c>
      <c r="P102" s="56" t="s">
        <v>269</v>
      </c>
    </row>
    <row r="103" spans="1:16" ht="13.8" thickBot="1" x14ac:dyDescent="0.3">
      <c r="A103" s="353"/>
      <c r="B103" s="353"/>
      <c r="C103" s="354"/>
      <c r="D103" s="354"/>
      <c r="E103" s="354"/>
      <c r="F103" s="324"/>
      <c r="G103" s="324"/>
      <c r="H103" s="324"/>
      <c r="I103" s="324"/>
      <c r="J103" s="324"/>
      <c r="K103" s="324"/>
      <c r="L103" s="324"/>
      <c r="M103" s="324"/>
      <c r="N103" s="324"/>
      <c r="O103" s="324"/>
      <c r="P103" s="53"/>
    </row>
    <row r="104" spans="1:16" ht="13.8" thickBot="1" x14ac:dyDescent="0.3">
      <c r="B104" s="298" t="s">
        <v>132</v>
      </c>
    </row>
    <row r="105" spans="1:16" s="347" customFormat="1" ht="13.8" thickBot="1" x14ac:dyDescent="0.3">
      <c r="A105" s="355" t="s">
        <v>0</v>
      </c>
      <c r="B105" s="356" t="s">
        <v>175</v>
      </c>
      <c r="C105" s="357" t="s">
        <v>92</v>
      </c>
      <c r="D105" s="357" t="s">
        <v>93</v>
      </c>
      <c r="E105" s="357" t="s">
        <v>94</v>
      </c>
      <c r="F105" s="357" t="s">
        <v>95</v>
      </c>
    </row>
    <row r="106" spans="1:16" s="347" customFormat="1" ht="13.8" thickBot="1" x14ac:dyDescent="0.3">
      <c r="A106" s="301">
        <v>1</v>
      </c>
      <c r="B106" s="301" t="s">
        <v>10</v>
      </c>
      <c r="C106" s="346" t="s">
        <v>97</v>
      </c>
      <c r="D106" s="346" t="s">
        <v>97</v>
      </c>
      <c r="E106" s="346" t="s">
        <v>97</v>
      </c>
      <c r="F106" s="346" t="s">
        <v>97</v>
      </c>
    </row>
    <row r="107" spans="1:16" s="347" customFormat="1" ht="13.8" thickBot="1" x14ac:dyDescent="0.3">
      <c r="A107" s="301">
        <v>2</v>
      </c>
      <c r="B107" s="301" t="s">
        <v>11</v>
      </c>
      <c r="C107" s="346" t="s">
        <v>97</v>
      </c>
      <c r="D107" s="346" t="s">
        <v>97</v>
      </c>
      <c r="E107" s="346" t="s">
        <v>97</v>
      </c>
      <c r="F107" s="346" t="s">
        <v>97</v>
      </c>
    </row>
    <row r="108" spans="1:16" s="347" customFormat="1" ht="13.8" thickBot="1" x14ac:dyDescent="0.3">
      <c r="A108" s="301">
        <v>3</v>
      </c>
      <c r="B108" s="301" t="s">
        <v>201</v>
      </c>
      <c r="C108" s="346" t="s">
        <v>97</v>
      </c>
      <c r="D108" s="346" t="s">
        <v>97</v>
      </c>
      <c r="E108" s="346" t="s">
        <v>97</v>
      </c>
      <c r="F108" s="346" t="s">
        <v>97</v>
      </c>
    </row>
    <row r="109" spans="1:16" s="347" customFormat="1" ht="13.8" thickBot="1" x14ac:dyDescent="0.3">
      <c r="A109" s="301">
        <v>4</v>
      </c>
      <c r="B109" s="301" t="s">
        <v>202</v>
      </c>
      <c r="C109" s="346" t="s">
        <v>97</v>
      </c>
      <c r="D109" s="346" t="s">
        <v>97</v>
      </c>
      <c r="E109" s="346" t="s">
        <v>97</v>
      </c>
      <c r="F109" s="346" t="s">
        <v>97</v>
      </c>
    </row>
    <row r="110" spans="1:16" s="347" customFormat="1" ht="13.8" thickBot="1" x14ac:dyDescent="0.3">
      <c r="A110" s="301">
        <v>5</v>
      </c>
      <c r="B110" s="301" t="s">
        <v>203</v>
      </c>
      <c r="C110" s="346" t="s">
        <v>97</v>
      </c>
      <c r="D110" s="346" t="s">
        <v>97</v>
      </c>
      <c r="E110" s="346" t="s">
        <v>97</v>
      </c>
      <c r="F110" s="346" t="s">
        <v>97</v>
      </c>
    </row>
    <row r="111" spans="1:16" s="347" customFormat="1" ht="13.8" thickBot="1" x14ac:dyDescent="0.3">
      <c r="A111" s="301">
        <v>6</v>
      </c>
      <c r="B111" s="301" t="s">
        <v>204</v>
      </c>
      <c r="C111" s="346" t="s">
        <v>97</v>
      </c>
      <c r="D111" s="346" t="s">
        <v>97</v>
      </c>
      <c r="E111" s="346" t="s">
        <v>97</v>
      </c>
      <c r="F111" s="346" t="s">
        <v>97</v>
      </c>
    </row>
    <row r="112" spans="1:16" s="347" customFormat="1" ht="13.8" thickBot="1" x14ac:dyDescent="0.3">
      <c r="A112" s="301">
        <v>7</v>
      </c>
      <c r="B112" s="301" t="s">
        <v>205</v>
      </c>
      <c r="C112" s="346" t="s">
        <v>97</v>
      </c>
      <c r="D112" s="346" t="s">
        <v>97</v>
      </c>
      <c r="E112" s="346" t="s">
        <v>97</v>
      </c>
      <c r="F112" s="346" t="s">
        <v>97</v>
      </c>
    </row>
    <row r="113" spans="1:6" s="347" customFormat="1" ht="13.8" thickBot="1" x14ac:dyDescent="0.3">
      <c r="A113" s="301">
        <v>8</v>
      </c>
      <c r="B113" s="301" t="s">
        <v>208</v>
      </c>
      <c r="C113" s="346" t="s">
        <v>97</v>
      </c>
      <c r="D113" s="346" t="s">
        <v>97</v>
      </c>
      <c r="E113" s="346" t="s">
        <v>97</v>
      </c>
      <c r="F113" s="346" t="s">
        <v>97</v>
      </c>
    </row>
    <row r="114" spans="1:6" s="347" customFormat="1" ht="27" thickBot="1" x14ac:dyDescent="0.3">
      <c r="A114" s="301">
        <v>9</v>
      </c>
      <c r="B114" s="301" t="s">
        <v>219</v>
      </c>
      <c r="C114" s="346" t="s">
        <v>349</v>
      </c>
      <c r="D114" s="346" t="s">
        <v>350</v>
      </c>
      <c r="E114" s="346" t="s">
        <v>97</v>
      </c>
      <c r="F114" s="346" t="s">
        <v>97</v>
      </c>
    </row>
    <row r="115" spans="1:6" s="347" customFormat="1" ht="13.8" thickBot="1" x14ac:dyDescent="0.3">
      <c r="A115" s="301">
        <v>10</v>
      </c>
      <c r="B115" s="301" t="s">
        <v>221</v>
      </c>
      <c r="C115" s="346" t="s">
        <v>97</v>
      </c>
      <c r="D115" s="346" t="s">
        <v>97</v>
      </c>
      <c r="E115" s="346" t="s">
        <v>97</v>
      </c>
      <c r="F115" s="346" t="s">
        <v>97</v>
      </c>
    </row>
    <row r="116" spans="1:6" s="347" customFormat="1" ht="13.8" thickBot="1" x14ac:dyDescent="0.3">
      <c r="A116" s="301">
        <v>11</v>
      </c>
      <c r="B116" s="301" t="s">
        <v>223</v>
      </c>
      <c r="C116" s="346" t="s">
        <v>97</v>
      </c>
      <c r="D116" s="346" t="s">
        <v>97</v>
      </c>
      <c r="E116" s="346" t="s">
        <v>97</v>
      </c>
      <c r="F116" s="346" t="s">
        <v>97</v>
      </c>
    </row>
    <row r="117" spans="1:6" s="347" customFormat="1" ht="13.8" thickBot="1" x14ac:dyDescent="0.3">
      <c r="A117" s="301">
        <v>12</v>
      </c>
      <c r="B117" s="301" t="s">
        <v>234</v>
      </c>
      <c r="C117" s="346" t="s">
        <v>97</v>
      </c>
      <c r="D117" s="346" t="s">
        <v>97</v>
      </c>
      <c r="E117" s="346" t="s">
        <v>97</v>
      </c>
      <c r="F117" s="346" t="s">
        <v>97</v>
      </c>
    </row>
    <row r="118" spans="1:6" s="347" customFormat="1" ht="13.8" thickBot="1" x14ac:dyDescent="0.3">
      <c r="A118" s="301">
        <v>13</v>
      </c>
      <c r="B118" s="301" t="s">
        <v>236</v>
      </c>
      <c r="C118" s="346" t="s">
        <v>305</v>
      </c>
      <c r="D118" s="346" t="s">
        <v>305</v>
      </c>
      <c r="E118" s="346" t="s">
        <v>305</v>
      </c>
      <c r="F118" s="346" t="s">
        <v>305</v>
      </c>
    </row>
    <row r="119" spans="1:6" s="347" customFormat="1" ht="13.8" thickBot="1" x14ac:dyDescent="0.3">
      <c r="A119" s="301">
        <v>14</v>
      </c>
      <c r="B119" s="301" t="s">
        <v>239</v>
      </c>
      <c r="C119" s="346"/>
      <c r="D119" s="346"/>
      <c r="E119" s="346"/>
      <c r="F119" s="346"/>
    </row>
  </sheetData>
  <phoneticPr fontId="3" type="noConversion"/>
  <conditionalFormatting sqref="B4:B6 A38:A51 A55:A68">
    <cfRule type="containsText" dxfId="315" priority="247" stopIfTrue="1" operator="containsText" text="None">
      <formula>NOT(ISERROR(SEARCH("None",A4)))</formula>
    </cfRule>
    <cfRule type="containsText" dxfId="314" priority="248" stopIfTrue="1" operator="containsText" text="Exchange in use">
      <formula>NOT(ISERROR(SEARCH("Exchange in use",A4)))</formula>
    </cfRule>
    <cfRule type="containsText" dxfId="313" priority="249" stopIfTrue="1" operator="containsText" text="Exchange in Use-Issues">
      <formula>NOT(ISERROR(SEARCH("Exchange in Use-Issues",A4)))</formula>
    </cfRule>
    <cfRule type="containsText" dxfId="312" priority="250" stopIfTrue="1" operator="containsText" text="Domino in use-issues">
      <formula>NOT(ISERROR(SEARCH("Domino in use-issues",A4)))</formula>
    </cfRule>
  </conditionalFormatting>
  <conditionalFormatting sqref="A18:B18 A37 B36:B51 B21:B34 B55:E68 A120:XFD65576 C34:XFD35 K38:XFD51 A36:XFD36 A1:XFD3 A19:XFD20 C37:XFD37 O4:IU18 L21:XFD33 K55:XFD68 A52:XFD54 A69:XFD71 A72:B85 S72:XFD85 A86:XFD104">
    <cfRule type="containsText" dxfId="311" priority="274" stopIfTrue="1" operator="containsText" text="Exchange in use">
      <formula>NOT(ISERROR(SEARCH("Exchange in use",A1)))</formula>
    </cfRule>
    <cfRule type="containsText" dxfId="310" priority="275" stopIfTrue="1" operator="containsText" text="Exchange in Use-Issues">
      <formula>NOT(ISERROR(SEARCH("Exchange in Use-Issues",A1)))</formula>
    </cfRule>
    <cfRule type="containsText" dxfId="309" priority="276" stopIfTrue="1" operator="containsText" text="Domino in use-issues">
      <formula>NOT(ISERROR(SEARCH("Domino in use-issues",A1)))</formula>
    </cfRule>
  </conditionalFormatting>
  <conditionalFormatting sqref="A18:B18 A37 B36:B51 B21:B34 B55:E68 A120:XFD65576 C34:XFD35 K38:XFD51 A36:XFD36 A1:XFD3 A19:XFD20 C37:XFD37 O4:IU18 L21:XFD33 K55:XFD68 A52:XFD54 A69:XFD71 A72:B85 S72:XFD85 A86:XFD104">
    <cfRule type="containsText" dxfId="308" priority="273" stopIfTrue="1" operator="containsText" text="None">
      <formula>NOT(ISERROR(SEARCH("None",A1)))</formula>
    </cfRule>
  </conditionalFormatting>
  <conditionalFormatting sqref="C55:E68">
    <cfRule type="containsText" dxfId="307" priority="219" stopIfTrue="1" operator="containsText" text="Partial">
      <formula>NOT(ISERROR(SEARCH("Partial",C55)))</formula>
    </cfRule>
    <cfRule type="containsText" dxfId="306" priority="220" stopIfTrue="1" operator="containsText" text="Total">
      <formula>NOT(ISERROR(SEARCH("Total",C55)))</formula>
    </cfRule>
  </conditionalFormatting>
  <conditionalFormatting sqref="C38:E51 J38:J51 C4:N18 C21:K33">
    <cfRule type="containsText" dxfId="305" priority="241" stopIfTrue="1" operator="containsText" text="None">
      <formula>NOT(ISERROR(SEARCH("None",C4)))</formula>
    </cfRule>
    <cfRule type="containsText" dxfId="304" priority="242" stopIfTrue="1" operator="containsText" text="Exchange in use">
      <formula>NOT(ISERROR(SEARCH("Exchange in use",C4)))</formula>
    </cfRule>
    <cfRule type="containsText" dxfId="303" priority="243" stopIfTrue="1" operator="containsText" text="Exchange in Use-Issues">
      <formula>NOT(ISERROR(SEARCH("Exchange in Use-Issues",C4)))</formula>
    </cfRule>
    <cfRule type="containsText" dxfId="302" priority="244" stopIfTrue="1" operator="containsText" text="Domino in use-issues">
      <formula>NOT(ISERROR(SEARCH("Domino in use-issues",C4)))</formula>
    </cfRule>
    <cfRule type="containsText" dxfId="301" priority="245" stopIfTrue="1" operator="containsText" text="Partial">
      <formula>NOT(ISERROR(SEARCH("Partial",C4)))</formula>
    </cfRule>
    <cfRule type="containsText" dxfId="300" priority="246" stopIfTrue="1" operator="containsText" text="Total">
      <formula>NOT(ISERROR(SEARCH("Total",C4)))</formula>
    </cfRule>
  </conditionalFormatting>
  <conditionalFormatting sqref="C58:E58">
    <cfRule type="containsText" dxfId="299" priority="267" stopIfTrue="1" operator="containsText" text="Partial">
      <formula>NOT(ISERROR(SEARCH("Partial",C58)))</formula>
    </cfRule>
    <cfRule type="containsText" dxfId="298" priority="268" stopIfTrue="1" operator="containsText" text="Total">
      <formula>NOT(ISERROR(SEARCH("Total",C58)))</formula>
    </cfRule>
  </conditionalFormatting>
  <conditionalFormatting sqref="F89:O101">
    <cfRule type="containsText" dxfId="297" priority="287" stopIfTrue="1" operator="containsText" text="Partial">
      <formula>NOT(ISERROR(SEARCH("Partial",F89)))</formula>
    </cfRule>
    <cfRule type="containsText" dxfId="296" priority="288" stopIfTrue="1" operator="containsText" text="Total">
      <formula>NOT(ISERROR(SEARCH("Total",F89)))</formula>
    </cfRule>
  </conditionalFormatting>
  <conditionalFormatting sqref="A21:A35">
    <cfRule type="containsText" dxfId="295" priority="167" stopIfTrue="1" operator="containsText" text="None">
      <formula>NOT(ISERROR(SEARCH("None",A21)))</formula>
    </cfRule>
    <cfRule type="containsText" dxfId="294" priority="168" stopIfTrue="1" operator="containsText" text="Exchange in use">
      <formula>NOT(ISERROR(SEARCH("Exchange in use",A21)))</formula>
    </cfRule>
    <cfRule type="containsText" dxfId="293" priority="169" stopIfTrue="1" operator="containsText" text="Exchange in Use-Issues">
      <formula>NOT(ISERROR(SEARCH("Exchange in Use-Issues",A21)))</formula>
    </cfRule>
    <cfRule type="containsText" dxfId="292" priority="170" stopIfTrue="1" operator="containsText" text="Domino in use-issues">
      <formula>NOT(ISERROR(SEARCH("Domino in use-issues",A21)))</formula>
    </cfRule>
  </conditionalFormatting>
  <conditionalFormatting sqref="B35">
    <cfRule type="containsText" dxfId="291" priority="164" stopIfTrue="1" operator="containsText" text="Exchange in use">
      <formula>NOT(ISERROR(SEARCH("Exchange in use",B35)))</formula>
    </cfRule>
    <cfRule type="containsText" dxfId="290" priority="165" stopIfTrue="1" operator="containsText" text="Exchange in Use-Issues">
      <formula>NOT(ISERROR(SEARCH("Exchange in Use-Issues",B35)))</formula>
    </cfRule>
    <cfRule type="containsText" dxfId="289" priority="166" stopIfTrue="1" operator="containsText" text="Domino in use-issues">
      <formula>NOT(ISERROR(SEARCH("Domino in use-issues",B35)))</formula>
    </cfRule>
  </conditionalFormatting>
  <conditionalFormatting sqref="B35">
    <cfRule type="containsText" dxfId="288" priority="163" stopIfTrue="1" operator="containsText" text="None">
      <formula>NOT(ISERROR(SEARCH("None",B35)))</formula>
    </cfRule>
  </conditionalFormatting>
  <conditionalFormatting sqref="C34:K34">
    <cfRule type="containsText" dxfId="287" priority="157" stopIfTrue="1" operator="containsText" text="Partial">
      <formula>NOT(ISERROR(SEARCH("Partial",C34)))</formula>
    </cfRule>
    <cfRule type="containsText" dxfId="286" priority="158" stopIfTrue="1" operator="containsText" text="Total">
      <formula>NOT(ISERROR(SEARCH("Total",C34)))</formula>
    </cfRule>
  </conditionalFormatting>
  <conditionalFormatting sqref="F38:I51">
    <cfRule type="containsText" dxfId="285" priority="103" stopIfTrue="1" operator="containsText" text="None">
      <formula>NOT(ISERROR(SEARCH("None",F38)))</formula>
    </cfRule>
    <cfRule type="containsText" dxfId="284" priority="104" stopIfTrue="1" operator="containsText" text="Exchange in use">
      <formula>NOT(ISERROR(SEARCH("Exchange in use",F38)))</formula>
    </cfRule>
    <cfRule type="containsText" dxfId="283" priority="105" stopIfTrue="1" operator="containsText" text="Exchange in Use-Issues">
      <formula>NOT(ISERROR(SEARCH("Exchange in Use-Issues",F38)))</formula>
    </cfRule>
    <cfRule type="containsText" dxfId="282" priority="106" stopIfTrue="1" operator="containsText" text="Domino in use-issues">
      <formula>NOT(ISERROR(SEARCH("Domino in use-issues",F38)))</formula>
    </cfRule>
    <cfRule type="containsText" dxfId="281" priority="107" stopIfTrue="1" operator="containsText" text="Partial">
      <formula>NOT(ISERROR(SEARCH("Partial",F38)))</formula>
    </cfRule>
    <cfRule type="containsText" dxfId="280" priority="108" stopIfTrue="1" operator="containsText" text="Total">
      <formula>NOT(ISERROR(SEARCH("Total",F38)))</formula>
    </cfRule>
  </conditionalFormatting>
  <conditionalFormatting sqref="F55:J57 F59:J68 G58:J58">
    <cfRule type="containsText" dxfId="279" priority="85" stopIfTrue="1" operator="containsText" text="None">
      <formula>NOT(ISERROR(SEARCH("None",F55)))</formula>
    </cfRule>
    <cfRule type="containsText" dxfId="278" priority="86" stopIfTrue="1" operator="containsText" text="Exchange in use">
      <formula>NOT(ISERROR(SEARCH("Exchange in use",F55)))</formula>
    </cfRule>
    <cfRule type="containsText" dxfId="277" priority="87" stopIfTrue="1" operator="containsText" text="Exchange in Use-Issues">
      <formula>NOT(ISERROR(SEARCH("Exchange in Use-Issues",F55)))</formula>
    </cfRule>
    <cfRule type="containsText" dxfId="276" priority="88" stopIfTrue="1" operator="containsText" text="Domino in use-issues">
      <formula>NOT(ISERROR(SEARCH("Domino in use-issues",F55)))</formula>
    </cfRule>
    <cfRule type="containsText" dxfId="275" priority="89" stopIfTrue="1" operator="containsText" text="Partial">
      <formula>NOT(ISERROR(SEARCH("Partial",F55)))</formula>
    </cfRule>
    <cfRule type="containsText" dxfId="274" priority="90" stopIfTrue="1" operator="containsText" text="Total">
      <formula>NOT(ISERROR(SEARCH("Total",F55)))</formula>
    </cfRule>
  </conditionalFormatting>
  <conditionalFormatting sqref="F58">
    <cfRule type="containsText" dxfId="273" priority="79" stopIfTrue="1" operator="containsText" text="None">
      <formula>NOT(ISERROR(SEARCH("None",F58)))</formula>
    </cfRule>
    <cfRule type="containsText" dxfId="272" priority="80" stopIfTrue="1" operator="containsText" text="Exchange in use">
      <formula>NOT(ISERROR(SEARCH("Exchange in use",F58)))</formula>
    </cfRule>
    <cfRule type="containsText" dxfId="271" priority="81" stopIfTrue="1" operator="containsText" text="Exchange in Use-Issues">
      <formula>NOT(ISERROR(SEARCH("Exchange in Use-Issues",F58)))</formula>
    </cfRule>
    <cfRule type="containsText" dxfId="270" priority="82" stopIfTrue="1" operator="containsText" text="Domino in use-issues">
      <formula>NOT(ISERROR(SEARCH("Domino in use-issues",F58)))</formula>
    </cfRule>
    <cfRule type="containsText" dxfId="269" priority="83" stopIfTrue="1" operator="containsText" text="Partial">
      <formula>NOT(ISERROR(SEARCH("Partial",F58)))</formula>
    </cfRule>
    <cfRule type="containsText" dxfId="268" priority="84" stopIfTrue="1" operator="containsText" text="Total">
      <formula>NOT(ISERROR(SEARCH("Total",F58)))</formula>
    </cfRule>
  </conditionalFormatting>
  <conditionalFormatting sqref="C72:R85">
    <cfRule type="containsText" dxfId="267" priority="69" stopIfTrue="1" operator="containsText" text="None">
      <formula>NOT(ISERROR(SEARCH("None",C72)))</formula>
    </cfRule>
    <cfRule type="containsText" dxfId="266" priority="70" stopIfTrue="1" operator="containsText" text="Exchange in use">
      <formula>NOT(ISERROR(SEARCH("Exchange in use",C72)))</formula>
    </cfRule>
    <cfRule type="containsText" dxfId="265" priority="71" stopIfTrue="1" operator="containsText" text="Exchange in Use-Issues">
      <formula>NOT(ISERROR(SEARCH("Exchange in Use-Issues",C72)))</formula>
    </cfRule>
    <cfRule type="containsText" dxfId="264" priority="72" stopIfTrue="1" operator="containsText" text="Domino in use-issues">
      <formula>NOT(ISERROR(SEARCH("Domino in use-issues",C72)))</formula>
    </cfRule>
    <cfRule type="containsText" dxfId="263" priority="73" stopIfTrue="1" operator="containsText" text="Partial">
      <formula>NOT(ISERROR(SEARCH("Partial",C72)))</formula>
    </cfRule>
    <cfRule type="containsText" dxfId="262" priority="74" stopIfTrue="1" operator="containsText" text="Total">
      <formula>NOT(ISERROR(SEARCH("Total",C72)))</formula>
    </cfRule>
  </conditionalFormatting>
  <conditionalFormatting sqref="F102:O103">
    <cfRule type="containsText" dxfId="261" priority="67" stopIfTrue="1" operator="containsText" text="Partial">
      <formula>NOT(ISERROR(SEARCH("Partial",F102)))</formula>
    </cfRule>
    <cfRule type="containsText" dxfId="260" priority="68" stopIfTrue="1" operator="containsText" text="Total">
      <formula>NOT(ISERROR(SEARCH("Total",F102)))</formula>
    </cfRule>
  </conditionalFormatting>
  <conditionalFormatting sqref="A105 C105:IR105 G106:IR112 G113:XFD119">
    <cfRule type="containsText" dxfId="259" priority="64" stopIfTrue="1" operator="containsText" text="Exchange in use">
      <formula>NOT(ISERROR(SEARCH("Exchange in use",A105)))</formula>
    </cfRule>
    <cfRule type="containsText" dxfId="258" priority="65" stopIfTrue="1" operator="containsText" text="Exchange in Use-Issues">
      <formula>NOT(ISERROR(SEARCH("Exchange in Use-Issues",A105)))</formula>
    </cfRule>
    <cfRule type="containsText" dxfId="257" priority="66" stopIfTrue="1" operator="containsText" text="Domino in use-issues">
      <formula>NOT(ISERROR(SEARCH("Domino in use-issues",A105)))</formula>
    </cfRule>
  </conditionalFormatting>
  <conditionalFormatting sqref="A105 C105:IR105 G106:IR112 G113:XFD119">
    <cfRule type="containsText" dxfId="256" priority="63" stopIfTrue="1" operator="containsText" text="None">
      <formula>NOT(ISERROR(SEARCH("None",A105)))</formula>
    </cfRule>
  </conditionalFormatting>
  <conditionalFormatting sqref="B105">
    <cfRule type="containsText" dxfId="255" priority="52" stopIfTrue="1" operator="containsText" text="Exchange in use">
      <formula>NOT(ISERROR(SEARCH("Exchange in use",B105)))</formula>
    </cfRule>
    <cfRule type="containsText" dxfId="254" priority="53" stopIfTrue="1" operator="containsText" text="Exchange in Use-Issues">
      <formula>NOT(ISERROR(SEARCH("Exchange in Use-Issues",B105)))</formula>
    </cfRule>
    <cfRule type="containsText" dxfId="253" priority="54" stopIfTrue="1" operator="containsText" text="Domino in use-issues">
      <formula>NOT(ISERROR(SEARCH("Domino in use-issues",B105)))</formula>
    </cfRule>
  </conditionalFormatting>
  <conditionalFormatting sqref="B105">
    <cfRule type="containsText" dxfId="252" priority="51" stopIfTrue="1" operator="containsText" text="None">
      <formula>NOT(ISERROR(SEARCH("None",B105)))</formula>
    </cfRule>
  </conditionalFormatting>
  <conditionalFormatting sqref="C106:F119">
    <cfRule type="containsText" dxfId="251" priority="17" stopIfTrue="1" operator="containsText" text="None">
      <formula>NOT(ISERROR(SEARCH("None",C106)))</formula>
    </cfRule>
    <cfRule type="containsText" dxfId="250" priority="18" stopIfTrue="1" operator="containsText" text="Exchange in use">
      <formula>NOT(ISERROR(SEARCH("Exchange in use",C106)))</formula>
    </cfRule>
    <cfRule type="containsText" dxfId="249" priority="19" stopIfTrue="1" operator="containsText" text="Exchange in Use-Issues">
      <formula>NOT(ISERROR(SEARCH("Exchange in Use-Issues",C106)))</formula>
    </cfRule>
    <cfRule type="containsText" dxfId="248" priority="20" stopIfTrue="1" operator="containsText" text="Domino in use-issues">
      <formula>NOT(ISERROR(SEARCH("Domino in use-issues",C106)))</formula>
    </cfRule>
    <cfRule type="containsText" dxfId="247" priority="21" stopIfTrue="1" operator="containsText" text="Partial">
      <formula>NOT(ISERROR(SEARCH("Partial",C106)))</formula>
    </cfRule>
    <cfRule type="containsText" dxfId="246" priority="22" stopIfTrue="1" operator="containsText" text="Total">
      <formula>NOT(ISERROR(SEARCH("Total",C106)))</formula>
    </cfRule>
  </conditionalFormatting>
  <conditionalFormatting sqref="A106:B119">
    <cfRule type="containsText" dxfId="245" priority="14" stopIfTrue="1" operator="containsText" text="Exchange in use">
      <formula>NOT(ISERROR(SEARCH("Exchange in use",A106)))</formula>
    </cfRule>
    <cfRule type="containsText" dxfId="244" priority="15" stopIfTrue="1" operator="containsText" text="Exchange in Use-Issues">
      <formula>NOT(ISERROR(SEARCH("Exchange in Use-Issues",A106)))</formula>
    </cfRule>
    <cfRule type="containsText" dxfId="243" priority="16" stopIfTrue="1" operator="containsText" text="Domino in use-issues">
      <formula>NOT(ISERROR(SEARCH("Domino in use-issues",A106)))</formula>
    </cfRule>
  </conditionalFormatting>
  <conditionalFormatting sqref="A106:B119">
    <cfRule type="containsText" dxfId="242" priority="13" stopIfTrue="1" operator="containsText" text="None">
      <formula>NOT(ISERROR(SEARCH("None",A106)))</formula>
    </cfRule>
  </conditionalFormatting>
  <conditionalFormatting sqref="B7:B17">
    <cfRule type="containsText" dxfId="241" priority="9" stopIfTrue="1" operator="containsText" text="None">
      <formula>NOT(ISERROR(SEARCH("None",B7)))</formula>
    </cfRule>
    <cfRule type="containsText" dxfId="240" priority="10" stopIfTrue="1" operator="containsText" text="Exchange in use">
      <formula>NOT(ISERROR(SEARCH("Exchange in use",B7)))</formula>
    </cfRule>
    <cfRule type="containsText" dxfId="239" priority="11" stopIfTrue="1" operator="containsText" text="Exchange in Use-Issues">
      <formula>NOT(ISERROR(SEARCH("Exchange in Use-Issues",B7)))</formula>
    </cfRule>
    <cfRule type="containsText" dxfId="238" priority="12" stopIfTrue="1" operator="containsText" text="Domino in use-issues">
      <formula>NOT(ISERROR(SEARCH("Domino in use-issues",B7)))</formula>
    </cfRule>
  </conditionalFormatting>
  <conditionalFormatting sqref="A4:A14">
    <cfRule type="containsText" dxfId="237" priority="5" stopIfTrue="1" operator="containsText" text="None">
      <formula>NOT(ISERROR(SEARCH("None",A4)))</formula>
    </cfRule>
    <cfRule type="containsText" dxfId="236" priority="6" stopIfTrue="1" operator="containsText" text="Exchange in use">
      <formula>NOT(ISERROR(SEARCH("Exchange in use",A4)))</formula>
    </cfRule>
    <cfRule type="containsText" dxfId="235" priority="7" stopIfTrue="1" operator="containsText" text="Exchange in Use-Issues">
      <formula>NOT(ISERROR(SEARCH("Exchange in Use-Issues",A4)))</formula>
    </cfRule>
    <cfRule type="containsText" dxfId="234" priority="8" stopIfTrue="1" operator="containsText" text="Domino in use-issues">
      <formula>NOT(ISERROR(SEARCH("Domino in use-issues",A4)))</formula>
    </cfRule>
  </conditionalFormatting>
  <conditionalFormatting sqref="A15:A17">
    <cfRule type="containsText" dxfId="233" priority="1" stopIfTrue="1" operator="containsText" text="None">
      <formula>NOT(ISERROR(SEARCH("None",A15)))</formula>
    </cfRule>
    <cfRule type="containsText" dxfId="232" priority="2" stopIfTrue="1" operator="containsText" text="Exchange in use">
      <formula>NOT(ISERROR(SEARCH("Exchange in use",A15)))</formula>
    </cfRule>
    <cfRule type="containsText" dxfId="231" priority="3" stopIfTrue="1" operator="containsText" text="Exchange in Use-Issues">
      <formula>NOT(ISERROR(SEARCH("Exchange in Use-Issues",A15)))</formula>
    </cfRule>
    <cfRule type="containsText" dxfId="230" priority="4" stopIfTrue="1" operator="containsText" text="Domino in use-issues">
      <formula>NOT(ISERROR(SEARCH("Domino in use-issues",A15)))</formula>
    </cfRule>
  </conditionalFormatting>
  <dataValidations count="4">
    <dataValidation type="list" allowBlank="1" showInputMessage="1" showErrorMessage="1" sqref="C25:K27 C55:J57 C21:K23 C38:J39 C59:J68 C41:J51 C72:P74 C76:P78 C89:O91 C93:O101">
      <formula1>Infrastructure</formula1>
    </dataValidation>
    <dataValidation type="list" allowBlank="1" showInputMessage="1" showErrorMessage="1" sqref="C92:O92 C58:J58 C75:P75 C24:K24 C40:J40">
      <formula1>email</formula1>
    </dataValidation>
    <dataValidation type="list" allowBlank="1" showInputMessage="1" showErrorMessage="1" sqref="C106:F108 C110:F112">
      <formula1>Infrastructure</formula1>
    </dataValidation>
    <dataValidation type="list" allowBlank="1" showInputMessage="1" showErrorMessage="1" sqref="C109:F109">
      <formula1>email</formula1>
    </dataValidation>
  </dataValidations>
  <pageMargins left="0.75" right="0.75" top="1" bottom="1" header="0.5" footer="0.5"/>
  <pageSetup paperSize="9" orientation="portrait" horizontalDpi="3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T85"/>
  <sheetViews>
    <sheetView tabSelected="1" workbookViewId="0">
      <selection activeCell="G1" sqref="G1"/>
    </sheetView>
  </sheetViews>
  <sheetFormatPr defaultColWidth="44.33203125" defaultRowHeight="13.2" x14ac:dyDescent="0.25"/>
  <cols>
    <col min="1" max="1" width="5" style="47" bestFit="1" customWidth="1"/>
    <col min="2" max="2" width="38.109375" style="47" customWidth="1"/>
    <col min="3" max="3" width="16.6640625" style="47" customWidth="1"/>
    <col min="4" max="4" width="23.44140625" style="47" customWidth="1"/>
    <col min="5" max="13" width="16.6640625" style="47" customWidth="1"/>
    <col min="14" max="14" width="22.44140625" style="47" customWidth="1"/>
    <col min="15" max="18" width="16.6640625" style="47" customWidth="1"/>
    <col min="19" max="16384" width="44.33203125" style="47"/>
  </cols>
  <sheetData>
    <row r="1" spans="1:14" ht="13.8" thickBot="1" x14ac:dyDescent="0.3">
      <c r="B1" s="211" t="s">
        <v>43</v>
      </c>
      <c r="G1" s="49">
        <f>'Infrastructure and Systems'!M2</f>
        <v>45930</v>
      </c>
    </row>
    <row r="2" spans="1:14" ht="13.8" thickBot="1" x14ac:dyDescent="0.3">
      <c r="A2" s="212" t="s">
        <v>0</v>
      </c>
      <c r="B2" s="166" t="s">
        <v>1</v>
      </c>
      <c r="C2" s="165" t="s">
        <v>54</v>
      </c>
      <c r="D2" s="165" t="s">
        <v>55</v>
      </c>
      <c r="E2" s="165" t="s">
        <v>56</v>
      </c>
      <c r="F2" s="165" t="s">
        <v>117</v>
      </c>
      <c r="G2" s="165" t="s">
        <v>57</v>
      </c>
      <c r="H2" s="165" t="s">
        <v>58</v>
      </c>
      <c r="I2" s="165" t="s">
        <v>59</v>
      </c>
      <c r="J2" s="165" t="s">
        <v>60</v>
      </c>
      <c r="K2" s="167" t="s">
        <v>61</v>
      </c>
      <c r="L2" s="212" t="s">
        <v>62</v>
      </c>
      <c r="M2" s="212" t="s">
        <v>63</v>
      </c>
      <c r="N2" s="168" t="s">
        <v>64</v>
      </c>
    </row>
    <row r="3" spans="1:14" ht="27" thickBot="1" x14ac:dyDescent="0.3">
      <c r="A3" s="170">
        <v>1</v>
      </c>
      <c r="B3" s="213" t="s">
        <v>15</v>
      </c>
      <c r="C3" s="169" t="s">
        <v>154</v>
      </c>
      <c r="D3" s="169" t="s">
        <v>154</v>
      </c>
      <c r="E3" s="169" t="s">
        <v>154</v>
      </c>
      <c r="F3" s="169" t="s">
        <v>154</v>
      </c>
      <c r="G3" s="169" t="s">
        <v>154</v>
      </c>
      <c r="H3" s="169" t="s">
        <v>154</v>
      </c>
      <c r="I3" s="169" t="s">
        <v>154</v>
      </c>
      <c r="J3" s="169" t="s">
        <v>154</v>
      </c>
      <c r="K3" s="169" t="s">
        <v>154</v>
      </c>
      <c r="L3" s="169" t="s">
        <v>154</v>
      </c>
      <c r="M3" s="169" t="s">
        <v>154</v>
      </c>
      <c r="N3" s="169" t="s">
        <v>154</v>
      </c>
    </row>
    <row r="4" spans="1:14" ht="27" thickBot="1" x14ac:dyDescent="0.3">
      <c r="A4" s="170">
        <v>2</v>
      </c>
      <c r="B4" s="213" t="s">
        <v>16</v>
      </c>
      <c r="C4" s="169" t="s">
        <v>155</v>
      </c>
      <c r="D4" s="169" t="s">
        <v>155</v>
      </c>
      <c r="E4" s="169" t="s">
        <v>155</v>
      </c>
      <c r="F4" s="169" t="s">
        <v>155</v>
      </c>
      <c r="G4" s="169" t="s">
        <v>155</v>
      </c>
      <c r="H4" s="169" t="s">
        <v>155</v>
      </c>
      <c r="I4" s="169" t="s">
        <v>155</v>
      </c>
      <c r="J4" s="169" t="s">
        <v>155</v>
      </c>
      <c r="K4" s="169" t="s">
        <v>155</v>
      </c>
      <c r="L4" s="169" t="s">
        <v>155</v>
      </c>
      <c r="M4" s="169" t="s">
        <v>155</v>
      </c>
      <c r="N4" s="169" t="s">
        <v>155</v>
      </c>
    </row>
    <row r="5" spans="1:14" ht="13.8" thickBot="1" x14ac:dyDescent="0.3">
      <c r="A5" s="170">
        <v>3</v>
      </c>
      <c r="B5" s="213" t="s">
        <v>17</v>
      </c>
      <c r="C5" s="169" t="s">
        <v>112</v>
      </c>
      <c r="D5" s="169" t="s">
        <v>112</v>
      </c>
      <c r="E5" s="169" t="s">
        <v>112</v>
      </c>
      <c r="F5" s="169" t="s">
        <v>112</v>
      </c>
      <c r="G5" s="169" t="s">
        <v>112</v>
      </c>
      <c r="H5" s="169" t="s">
        <v>112</v>
      </c>
      <c r="I5" s="169" t="s">
        <v>112</v>
      </c>
      <c r="J5" s="169" t="s">
        <v>112</v>
      </c>
      <c r="K5" s="169" t="s">
        <v>112</v>
      </c>
      <c r="L5" s="169" t="s">
        <v>112</v>
      </c>
      <c r="M5" s="169" t="s">
        <v>112</v>
      </c>
      <c r="N5" s="169" t="s">
        <v>112</v>
      </c>
    </row>
    <row r="6" spans="1:14" ht="13.8" thickBot="1" x14ac:dyDescent="0.3">
      <c r="A6" s="170">
        <v>4</v>
      </c>
      <c r="B6" s="213" t="s">
        <v>18</v>
      </c>
      <c r="C6" s="169" t="s">
        <v>65</v>
      </c>
      <c r="D6" s="169" t="s">
        <v>65</v>
      </c>
      <c r="E6" s="169" t="s">
        <v>65</v>
      </c>
      <c r="F6" s="169" t="s">
        <v>65</v>
      </c>
      <c r="G6" s="169" t="s">
        <v>65</v>
      </c>
      <c r="H6" s="169" t="s">
        <v>65</v>
      </c>
      <c r="I6" s="169" t="s">
        <v>65</v>
      </c>
      <c r="J6" s="169" t="s">
        <v>65</v>
      </c>
      <c r="K6" s="169" t="s">
        <v>65</v>
      </c>
      <c r="L6" s="169" t="s">
        <v>65</v>
      </c>
      <c r="M6" s="169" t="s">
        <v>65</v>
      </c>
      <c r="N6" s="169" t="s">
        <v>65</v>
      </c>
    </row>
    <row r="7" spans="1:14" ht="27" thickBot="1" x14ac:dyDescent="0.3">
      <c r="A7" s="170">
        <v>6</v>
      </c>
      <c r="B7" s="213" t="s">
        <v>19</v>
      </c>
      <c r="C7" s="169" t="s">
        <v>146</v>
      </c>
      <c r="D7" s="169" t="s">
        <v>146</v>
      </c>
      <c r="E7" s="169" t="s">
        <v>146</v>
      </c>
      <c r="F7" s="169" t="s">
        <v>146</v>
      </c>
      <c r="G7" s="169" t="s">
        <v>146</v>
      </c>
      <c r="H7" s="169" t="s">
        <v>146</v>
      </c>
      <c r="I7" s="169" t="s">
        <v>146</v>
      </c>
      <c r="J7" s="169" t="s">
        <v>146</v>
      </c>
      <c r="K7" s="169" t="s">
        <v>146</v>
      </c>
      <c r="L7" s="169" t="s">
        <v>146</v>
      </c>
      <c r="M7" s="169" t="s">
        <v>146</v>
      </c>
      <c r="N7" s="169" t="s">
        <v>146</v>
      </c>
    </row>
    <row r="8" spans="1:14" ht="13.8" thickBot="1" x14ac:dyDescent="0.3">
      <c r="A8" s="170">
        <v>7</v>
      </c>
      <c r="B8" s="213" t="s">
        <v>20</v>
      </c>
      <c r="C8" s="169" t="s">
        <v>66</v>
      </c>
      <c r="D8" s="169" t="s">
        <v>66</v>
      </c>
      <c r="E8" s="169" t="s">
        <v>66</v>
      </c>
      <c r="F8" s="169" t="s">
        <v>66</v>
      </c>
      <c r="G8" s="169" t="s">
        <v>66</v>
      </c>
      <c r="H8" s="169" t="s">
        <v>66</v>
      </c>
      <c r="I8" s="169" t="s">
        <v>66</v>
      </c>
      <c r="J8" s="169" t="s">
        <v>66</v>
      </c>
      <c r="K8" s="169" t="s">
        <v>66</v>
      </c>
      <c r="L8" s="169" t="s">
        <v>66</v>
      </c>
      <c r="M8" s="169" t="s">
        <v>66</v>
      </c>
      <c r="N8" s="169" t="s">
        <v>66</v>
      </c>
    </row>
    <row r="9" spans="1:14" s="173" customFormat="1" ht="13.8" thickBot="1" x14ac:dyDescent="0.3">
      <c r="A9" s="214">
        <v>8</v>
      </c>
      <c r="B9" s="213" t="s">
        <v>351</v>
      </c>
      <c r="C9" s="169" t="s">
        <v>352</v>
      </c>
      <c r="D9" s="169" t="s">
        <v>352</v>
      </c>
      <c r="E9" s="169" t="s">
        <v>352</v>
      </c>
      <c r="F9" s="169" t="s">
        <v>352</v>
      </c>
      <c r="G9" s="169" t="s">
        <v>352</v>
      </c>
      <c r="H9" s="169" t="s">
        <v>352</v>
      </c>
      <c r="I9" s="169" t="s">
        <v>352</v>
      </c>
      <c r="J9" s="169" t="s">
        <v>352</v>
      </c>
      <c r="K9" s="169" t="s">
        <v>352</v>
      </c>
      <c r="L9" s="169" t="s">
        <v>352</v>
      </c>
      <c r="M9" s="169" t="s">
        <v>352</v>
      </c>
      <c r="N9" s="169" t="s">
        <v>352</v>
      </c>
    </row>
    <row r="10" spans="1:14" s="173" customFormat="1" ht="25.8" thickBot="1" x14ac:dyDescent="0.3">
      <c r="A10" s="214">
        <v>9</v>
      </c>
      <c r="B10" s="213" t="s">
        <v>353</v>
      </c>
      <c r="C10" s="169" t="s">
        <v>354</v>
      </c>
      <c r="D10" s="169" t="s">
        <v>354</v>
      </c>
      <c r="E10" s="169" t="s">
        <v>354</v>
      </c>
      <c r="F10" s="169" t="s">
        <v>354</v>
      </c>
      <c r="G10" s="169" t="s">
        <v>354</v>
      </c>
      <c r="H10" s="169" t="s">
        <v>354</v>
      </c>
      <c r="I10" s="169" t="s">
        <v>354</v>
      </c>
      <c r="J10" s="169" t="s">
        <v>354</v>
      </c>
      <c r="K10" s="169" t="s">
        <v>354</v>
      </c>
      <c r="L10" s="169" t="s">
        <v>354</v>
      </c>
      <c r="M10" s="169" t="s">
        <v>354</v>
      </c>
      <c r="N10" s="169" t="s">
        <v>354</v>
      </c>
    </row>
    <row r="11" spans="1:14" s="216" customFormat="1" ht="13.8" thickBot="1" x14ac:dyDescent="0.3">
      <c r="A11" s="214">
        <v>10</v>
      </c>
      <c r="B11" s="213" t="s">
        <v>355</v>
      </c>
      <c r="C11" s="215">
        <v>1</v>
      </c>
      <c r="D11" s="215">
        <v>1</v>
      </c>
      <c r="E11" s="215">
        <v>1</v>
      </c>
      <c r="F11" s="215">
        <v>1</v>
      </c>
      <c r="G11" s="215">
        <v>1</v>
      </c>
      <c r="H11" s="215">
        <v>1</v>
      </c>
      <c r="I11" s="215">
        <v>1</v>
      </c>
      <c r="J11" s="215">
        <v>1</v>
      </c>
      <c r="K11" s="215">
        <v>1</v>
      </c>
      <c r="L11" s="215">
        <v>1</v>
      </c>
      <c r="M11" s="215">
        <v>1</v>
      </c>
      <c r="N11" s="215">
        <v>1</v>
      </c>
    </row>
    <row r="12" spans="1:14" s="216" customFormat="1" ht="13.8" thickBot="1" x14ac:dyDescent="0.3">
      <c r="A12" s="217"/>
      <c r="B12" s="218"/>
      <c r="C12" s="219"/>
      <c r="D12" s="219"/>
      <c r="E12" s="219"/>
      <c r="F12" s="219"/>
      <c r="G12" s="219"/>
      <c r="H12" s="219"/>
      <c r="I12" s="219"/>
      <c r="J12" s="219"/>
      <c r="K12" s="219"/>
      <c r="L12" s="219"/>
      <c r="M12" s="219"/>
      <c r="N12" s="219"/>
    </row>
    <row r="13" spans="1:14" ht="13.8" thickBot="1" x14ac:dyDescent="0.3">
      <c r="B13" s="211" t="s">
        <v>44</v>
      </c>
    </row>
    <row r="14" spans="1:14" s="48" customFormat="1" ht="13.8" thickBot="1" x14ac:dyDescent="0.3">
      <c r="A14" s="165" t="s">
        <v>0</v>
      </c>
      <c r="B14" s="165" t="s">
        <v>1</v>
      </c>
      <c r="C14" s="165" t="s">
        <v>68</v>
      </c>
      <c r="D14" s="165" t="s">
        <v>69</v>
      </c>
      <c r="E14" s="165" t="s">
        <v>70</v>
      </c>
      <c r="F14" s="165" t="s">
        <v>71</v>
      </c>
      <c r="G14" s="165" t="s">
        <v>72</v>
      </c>
      <c r="H14" s="165" t="s">
        <v>73</v>
      </c>
      <c r="I14" s="165" t="s">
        <v>74</v>
      </c>
      <c r="J14" s="165" t="s">
        <v>75</v>
      </c>
      <c r="K14" s="165" t="s">
        <v>76</v>
      </c>
    </row>
    <row r="15" spans="1:14" s="48" customFormat="1" ht="27" thickBot="1" x14ac:dyDescent="0.3">
      <c r="A15" s="242">
        <v>1</v>
      </c>
      <c r="B15" s="243" t="s">
        <v>15</v>
      </c>
      <c r="C15" s="207" t="s">
        <v>499</v>
      </c>
      <c r="D15" s="207" t="s">
        <v>499</v>
      </c>
      <c r="E15" s="207" t="s">
        <v>499</v>
      </c>
      <c r="F15" s="207" t="s">
        <v>499</v>
      </c>
      <c r="G15" s="207" t="s">
        <v>499</v>
      </c>
      <c r="H15" s="207" t="s">
        <v>499</v>
      </c>
      <c r="I15" s="207" t="s">
        <v>500</v>
      </c>
      <c r="J15" s="207" t="s">
        <v>499</v>
      </c>
      <c r="K15" s="207" t="s">
        <v>499</v>
      </c>
    </row>
    <row r="16" spans="1:14" s="48" customFormat="1" ht="27" thickBot="1" x14ac:dyDescent="0.3">
      <c r="A16" s="242">
        <v>2</v>
      </c>
      <c r="B16" s="243" t="s">
        <v>16</v>
      </c>
      <c r="C16" s="207" t="s">
        <v>501</v>
      </c>
      <c r="D16" s="207" t="s">
        <v>502</v>
      </c>
      <c r="E16" s="207" t="s">
        <v>502</v>
      </c>
      <c r="F16" s="207" t="s">
        <v>502</v>
      </c>
      <c r="G16" s="207" t="s">
        <v>502</v>
      </c>
      <c r="H16" s="207" t="s">
        <v>502</v>
      </c>
      <c r="I16" s="207" t="s">
        <v>502</v>
      </c>
      <c r="J16" s="207" t="s">
        <v>502</v>
      </c>
      <c r="K16" s="207" t="s">
        <v>502</v>
      </c>
    </row>
    <row r="17" spans="1:11" s="48" customFormat="1" x14ac:dyDescent="0.25">
      <c r="A17" s="513">
        <v>3</v>
      </c>
      <c r="B17" s="513" t="s">
        <v>17</v>
      </c>
      <c r="C17" s="511" t="s">
        <v>764</v>
      </c>
      <c r="D17" s="511" t="s">
        <v>764</v>
      </c>
      <c r="E17" s="511" t="s">
        <v>764</v>
      </c>
      <c r="F17" s="511" t="s">
        <v>764</v>
      </c>
      <c r="G17" s="511" t="s">
        <v>764</v>
      </c>
      <c r="H17" s="511" t="s">
        <v>764</v>
      </c>
      <c r="I17" s="511" t="s">
        <v>764</v>
      </c>
      <c r="J17" s="511" t="s">
        <v>764</v>
      </c>
      <c r="K17" s="511" t="s">
        <v>764</v>
      </c>
    </row>
    <row r="18" spans="1:11" s="48" customFormat="1" ht="13.8" thickBot="1" x14ac:dyDescent="0.3">
      <c r="A18" s="514"/>
      <c r="B18" s="514"/>
      <c r="C18" s="512"/>
      <c r="D18" s="512"/>
      <c r="E18" s="512"/>
      <c r="F18" s="512"/>
      <c r="G18" s="512"/>
      <c r="H18" s="512"/>
      <c r="I18" s="512"/>
      <c r="J18" s="512"/>
      <c r="K18" s="512"/>
    </row>
    <row r="19" spans="1:11" s="48" customFormat="1" ht="27" thickBot="1" x14ac:dyDescent="0.3">
      <c r="A19" s="242">
        <v>4</v>
      </c>
      <c r="B19" s="243" t="s">
        <v>18</v>
      </c>
      <c r="C19" s="207" t="s">
        <v>503</v>
      </c>
      <c r="D19" s="207" t="s">
        <v>503</v>
      </c>
      <c r="E19" s="207" t="s">
        <v>503</v>
      </c>
      <c r="F19" s="207" t="s">
        <v>503</v>
      </c>
      <c r="G19" s="207" t="s">
        <v>503</v>
      </c>
      <c r="H19" s="207" t="s">
        <v>503</v>
      </c>
      <c r="I19" s="207" t="s">
        <v>503</v>
      </c>
      <c r="J19" s="207" t="s">
        <v>503</v>
      </c>
      <c r="K19" s="207" t="s">
        <v>503</v>
      </c>
    </row>
    <row r="20" spans="1:11" s="48" customFormat="1" ht="13.8" thickBot="1" x14ac:dyDescent="0.3">
      <c r="A20" s="242">
        <v>6</v>
      </c>
      <c r="B20" s="243" t="s">
        <v>19</v>
      </c>
      <c r="C20" s="207" t="s">
        <v>504</v>
      </c>
      <c r="D20" s="207" t="s">
        <v>505</v>
      </c>
      <c r="E20" s="207" t="s">
        <v>505</v>
      </c>
      <c r="F20" s="207" t="s">
        <v>505</v>
      </c>
      <c r="G20" s="207" t="s">
        <v>505</v>
      </c>
      <c r="H20" s="207" t="s">
        <v>505</v>
      </c>
      <c r="I20" s="207" t="s">
        <v>505</v>
      </c>
      <c r="J20" s="207" t="s">
        <v>505</v>
      </c>
      <c r="K20" s="207" t="s">
        <v>505</v>
      </c>
    </row>
    <row r="21" spans="1:11" s="48" customFormat="1" ht="27" thickBot="1" x14ac:dyDescent="0.3">
      <c r="A21" s="242">
        <v>7</v>
      </c>
      <c r="B21" s="243" t="s">
        <v>20</v>
      </c>
      <c r="C21" s="207" t="s">
        <v>506</v>
      </c>
      <c r="D21" s="207" t="s">
        <v>506</v>
      </c>
      <c r="E21" s="207" t="s">
        <v>506</v>
      </c>
      <c r="F21" s="207" t="s">
        <v>506</v>
      </c>
      <c r="G21" s="207" t="s">
        <v>506</v>
      </c>
      <c r="H21" s="207" t="s">
        <v>506</v>
      </c>
      <c r="I21" s="207" t="s">
        <v>506</v>
      </c>
      <c r="J21" s="207" t="s">
        <v>506</v>
      </c>
      <c r="K21" s="207" t="s">
        <v>506</v>
      </c>
    </row>
    <row r="22" spans="1:11" s="173" customFormat="1" ht="13.8" thickBot="1" x14ac:dyDescent="0.3">
      <c r="A22" s="214">
        <v>8</v>
      </c>
      <c r="B22" s="213" t="s">
        <v>351</v>
      </c>
      <c r="C22" s="169"/>
      <c r="D22" s="169"/>
      <c r="E22" s="169"/>
      <c r="F22" s="169"/>
      <c r="G22" s="169"/>
      <c r="H22" s="169"/>
      <c r="I22" s="169"/>
      <c r="J22" s="169"/>
      <c r="K22" s="169"/>
    </row>
    <row r="23" spans="1:11" s="173" customFormat="1" ht="25.8" thickBot="1" x14ac:dyDescent="0.3">
      <c r="A23" s="214">
        <v>9</v>
      </c>
      <c r="B23" s="213" t="s">
        <v>353</v>
      </c>
      <c r="C23" s="169"/>
      <c r="D23" s="169"/>
      <c r="E23" s="169"/>
      <c r="F23" s="169"/>
      <c r="G23" s="169"/>
      <c r="H23" s="169"/>
      <c r="I23" s="169"/>
      <c r="J23" s="169"/>
      <c r="K23" s="169"/>
    </row>
    <row r="24" spans="1:11" s="216" customFormat="1" ht="13.8" thickBot="1" x14ac:dyDescent="0.3">
      <c r="A24" s="214">
        <v>10</v>
      </c>
      <c r="B24" s="213" t="s">
        <v>355</v>
      </c>
      <c r="C24" s="215"/>
      <c r="D24" s="215"/>
      <c r="E24" s="215"/>
      <c r="F24" s="215"/>
      <c r="G24" s="215"/>
      <c r="H24" s="215"/>
      <c r="I24" s="215"/>
      <c r="J24" s="215"/>
      <c r="K24" s="215"/>
    </row>
    <row r="25" spans="1:11" ht="13.8" thickBot="1" x14ac:dyDescent="0.3">
      <c r="A25" s="81"/>
      <c r="B25" s="81"/>
      <c r="C25" s="221"/>
      <c r="D25" s="221"/>
      <c r="E25" s="221"/>
      <c r="F25" s="221"/>
      <c r="G25" s="221"/>
      <c r="H25" s="221"/>
      <c r="I25" s="221"/>
      <c r="J25" s="221"/>
      <c r="K25" s="221"/>
    </row>
    <row r="26" spans="1:11" ht="13.8" thickBot="1" x14ac:dyDescent="0.3">
      <c r="B26" s="211" t="s">
        <v>45</v>
      </c>
    </row>
    <row r="27" spans="1:11" ht="13.8" thickBot="1" x14ac:dyDescent="0.3">
      <c r="A27" s="220" t="s">
        <v>0</v>
      </c>
      <c r="B27" s="220" t="s">
        <v>1</v>
      </c>
      <c r="C27" s="220" t="s">
        <v>84</v>
      </c>
      <c r="D27" s="220" t="s">
        <v>85</v>
      </c>
      <c r="E27" s="220" t="s">
        <v>86</v>
      </c>
      <c r="F27" s="220" t="s">
        <v>9</v>
      </c>
      <c r="G27" s="220" t="s">
        <v>87</v>
      </c>
      <c r="H27" s="220" t="s">
        <v>421</v>
      </c>
      <c r="I27" s="220" t="s">
        <v>89</v>
      </c>
      <c r="J27" s="220" t="s">
        <v>195</v>
      </c>
      <c r="K27" s="220" t="s">
        <v>91</v>
      </c>
    </row>
    <row r="28" spans="1:11" ht="40.200000000000003" thickBot="1" x14ac:dyDescent="0.3">
      <c r="A28" s="171">
        <v>1</v>
      </c>
      <c r="B28" s="222" t="s">
        <v>15</v>
      </c>
      <c r="C28" s="169" t="s">
        <v>133</v>
      </c>
      <c r="D28" s="169" t="s">
        <v>133</v>
      </c>
      <c r="E28" s="169" t="s">
        <v>422</v>
      </c>
      <c r="F28" s="169" t="s">
        <v>423</v>
      </c>
      <c r="G28" s="169" t="s">
        <v>424</v>
      </c>
      <c r="H28" s="169" t="s">
        <v>424</v>
      </c>
      <c r="I28" s="169" t="s">
        <v>425</v>
      </c>
      <c r="J28" s="169" t="s">
        <v>423</v>
      </c>
      <c r="K28" s="169" t="s">
        <v>426</v>
      </c>
    </row>
    <row r="29" spans="1:11" ht="27" thickBot="1" x14ac:dyDescent="0.3">
      <c r="A29" s="171">
        <v>2</v>
      </c>
      <c r="B29" s="222" t="s">
        <v>427</v>
      </c>
      <c r="C29" s="169" t="s">
        <v>134</v>
      </c>
      <c r="D29" s="169" t="s">
        <v>134</v>
      </c>
      <c r="E29" s="169" t="s">
        <v>428</v>
      </c>
      <c r="F29" s="169" t="s">
        <v>429</v>
      </c>
      <c r="G29" s="169" t="s">
        <v>430</v>
      </c>
      <c r="H29" s="169" t="s">
        <v>430</v>
      </c>
      <c r="I29" s="169" t="s">
        <v>253</v>
      </c>
      <c r="J29" s="169" t="s">
        <v>429</v>
      </c>
      <c r="K29" s="169" t="s">
        <v>426</v>
      </c>
    </row>
    <row r="30" spans="1:11" ht="27" thickBot="1" x14ac:dyDescent="0.3">
      <c r="A30" s="171">
        <v>3</v>
      </c>
      <c r="B30" s="222" t="s">
        <v>17</v>
      </c>
      <c r="C30" s="169" t="s">
        <v>163</v>
      </c>
      <c r="D30" s="169" t="s">
        <v>163</v>
      </c>
      <c r="E30" s="169" t="s">
        <v>431</v>
      </c>
      <c r="F30" s="169" t="s">
        <v>432</v>
      </c>
      <c r="G30" s="169" t="s">
        <v>433</v>
      </c>
      <c r="H30" s="169" t="s">
        <v>433</v>
      </c>
      <c r="I30" s="169" t="s">
        <v>253</v>
      </c>
      <c r="J30" s="169" t="s">
        <v>432</v>
      </c>
      <c r="K30" s="169" t="s">
        <v>434</v>
      </c>
    </row>
    <row r="31" spans="1:11" ht="27" thickBot="1" x14ac:dyDescent="0.3">
      <c r="A31" s="171">
        <v>4</v>
      </c>
      <c r="B31" s="222" t="s">
        <v>18</v>
      </c>
      <c r="C31" s="169" t="s">
        <v>65</v>
      </c>
      <c r="D31" s="169" t="s">
        <v>65</v>
      </c>
      <c r="E31" s="169" t="s">
        <v>435</v>
      </c>
      <c r="F31" s="169" t="s">
        <v>436</v>
      </c>
      <c r="G31" s="169" t="s">
        <v>437</v>
      </c>
      <c r="H31" s="169" t="s">
        <v>437</v>
      </c>
      <c r="I31" s="169" t="s">
        <v>425</v>
      </c>
      <c r="J31" s="169" t="s">
        <v>436</v>
      </c>
      <c r="K31" s="169" t="s">
        <v>438</v>
      </c>
    </row>
    <row r="32" spans="1:11" ht="13.8" thickBot="1" x14ac:dyDescent="0.3">
      <c r="A32" s="171">
        <v>6</v>
      </c>
      <c r="B32" s="222" t="s">
        <v>19</v>
      </c>
      <c r="C32" s="169" t="s">
        <v>439</v>
      </c>
      <c r="D32" s="169" t="s">
        <v>439</v>
      </c>
      <c r="E32" s="169" t="s">
        <v>440</v>
      </c>
      <c r="F32" s="169" t="s">
        <v>441</v>
      </c>
      <c r="G32" s="169" t="s">
        <v>295</v>
      </c>
      <c r="H32" s="169" t="s">
        <v>295</v>
      </c>
      <c r="I32" s="223" t="s">
        <v>253</v>
      </c>
      <c r="J32" s="169" t="s">
        <v>441</v>
      </c>
      <c r="K32" s="169" t="s">
        <v>442</v>
      </c>
    </row>
    <row r="33" spans="1:11" ht="29.25" customHeight="1" thickBot="1" x14ac:dyDescent="0.3">
      <c r="A33" s="171">
        <v>7</v>
      </c>
      <c r="B33" s="222" t="s">
        <v>20</v>
      </c>
      <c r="C33" s="169" t="s">
        <v>245</v>
      </c>
      <c r="D33" s="169" t="s">
        <v>443</v>
      </c>
      <c r="E33" s="169" t="s">
        <v>444</v>
      </c>
      <c r="F33" s="169" t="s">
        <v>445</v>
      </c>
      <c r="G33" s="169" t="s">
        <v>295</v>
      </c>
      <c r="H33" s="169" t="s">
        <v>295</v>
      </c>
      <c r="I33" s="223" t="s">
        <v>253</v>
      </c>
      <c r="J33" s="169" t="s">
        <v>445</v>
      </c>
      <c r="K33" s="169" t="s">
        <v>426</v>
      </c>
    </row>
    <row r="34" spans="1:11" s="173" customFormat="1" ht="30" customHeight="1" thickBot="1" x14ac:dyDescent="0.3">
      <c r="A34" s="171">
        <v>8</v>
      </c>
      <c r="B34" s="222" t="s">
        <v>351</v>
      </c>
      <c r="C34" s="224" t="s">
        <v>253</v>
      </c>
      <c r="D34" s="224" t="s">
        <v>253</v>
      </c>
      <c r="E34" s="169" t="s">
        <v>253</v>
      </c>
      <c r="F34" s="169" t="s">
        <v>417</v>
      </c>
      <c r="G34" s="169" t="s">
        <v>295</v>
      </c>
      <c r="H34" s="169" t="s">
        <v>295</v>
      </c>
      <c r="I34" s="169" t="s">
        <v>253</v>
      </c>
      <c r="J34" s="225" t="s">
        <v>417</v>
      </c>
      <c r="K34" s="226" t="s">
        <v>418</v>
      </c>
    </row>
    <row r="35" spans="1:11" s="173" customFormat="1" ht="27" thickBot="1" x14ac:dyDescent="0.3">
      <c r="A35" s="171">
        <v>9</v>
      </c>
      <c r="B35" s="222" t="s">
        <v>353</v>
      </c>
      <c r="C35" s="224" t="s">
        <v>446</v>
      </c>
      <c r="D35" s="224" t="s">
        <v>446</v>
      </c>
      <c r="E35" s="169" t="s">
        <v>419</v>
      </c>
      <c r="F35" s="169" t="s">
        <v>420</v>
      </c>
      <c r="G35" s="169" t="s">
        <v>446</v>
      </c>
      <c r="H35" s="169" t="s">
        <v>446</v>
      </c>
      <c r="I35" s="169" t="s">
        <v>253</v>
      </c>
      <c r="J35" s="224" t="s">
        <v>420</v>
      </c>
      <c r="K35" s="224" t="s">
        <v>446</v>
      </c>
    </row>
    <row r="36" spans="1:11" s="173" customFormat="1" ht="13.8" thickBot="1" x14ac:dyDescent="0.3">
      <c r="A36" s="171">
        <v>10</v>
      </c>
      <c r="B36" s="222" t="s">
        <v>355</v>
      </c>
      <c r="C36" s="227">
        <v>1</v>
      </c>
      <c r="D36" s="228">
        <v>1</v>
      </c>
      <c r="E36" s="228">
        <v>1</v>
      </c>
      <c r="F36" s="228">
        <v>1</v>
      </c>
      <c r="G36" s="228">
        <v>1</v>
      </c>
      <c r="H36" s="228">
        <v>1</v>
      </c>
      <c r="I36" s="228">
        <v>1</v>
      </c>
      <c r="J36" s="228">
        <v>0.9</v>
      </c>
      <c r="K36" s="228"/>
    </row>
    <row r="37" spans="1:11" ht="13.8" thickBot="1" x14ac:dyDescent="0.3"/>
    <row r="38" spans="1:11" s="173" customFormat="1" ht="13.8" thickBot="1" x14ac:dyDescent="0.3">
      <c r="B38" s="229" t="s">
        <v>46</v>
      </c>
    </row>
    <row r="39" spans="1:11" s="232" customFormat="1" thickBot="1" x14ac:dyDescent="0.25">
      <c r="A39" s="230" t="s">
        <v>0</v>
      </c>
      <c r="B39" s="220" t="s">
        <v>1</v>
      </c>
      <c r="C39" s="220" t="s">
        <v>104</v>
      </c>
      <c r="D39" s="220" t="s">
        <v>105</v>
      </c>
      <c r="E39" s="220" t="s">
        <v>106</v>
      </c>
      <c r="F39" s="220" t="s">
        <v>107</v>
      </c>
      <c r="G39" s="220" t="s">
        <v>108</v>
      </c>
      <c r="H39" s="220" t="s">
        <v>109</v>
      </c>
      <c r="I39" s="220" t="s">
        <v>110</v>
      </c>
      <c r="J39" s="231" t="s">
        <v>111</v>
      </c>
    </row>
    <row r="40" spans="1:11" s="173" customFormat="1" ht="13.8" thickBot="1" x14ac:dyDescent="0.3">
      <c r="A40" s="171">
        <v>1</v>
      </c>
      <c r="B40" s="172" t="s">
        <v>15</v>
      </c>
      <c r="C40" s="233" t="s">
        <v>447</v>
      </c>
      <c r="D40" s="233" t="s">
        <v>447</v>
      </c>
      <c r="E40" s="233" t="s">
        <v>447</v>
      </c>
      <c r="F40" s="233" t="s">
        <v>447</v>
      </c>
      <c r="G40" s="233" t="s">
        <v>447</v>
      </c>
      <c r="H40" s="233" t="s">
        <v>447</v>
      </c>
      <c r="I40" s="233" t="s">
        <v>447</v>
      </c>
      <c r="J40" s="233" t="s">
        <v>447</v>
      </c>
    </row>
    <row r="41" spans="1:11" s="173" customFormat="1" ht="13.8" thickBot="1" x14ac:dyDescent="0.3">
      <c r="A41" s="171">
        <v>2</v>
      </c>
      <c r="B41" s="172" t="s">
        <v>427</v>
      </c>
      <c r="C41" s="234" t="s">
        <v>448</v>
      </c>
      <c r="D41" s="234" t="s">
        <v>448</v>
      </c>
      <c r="E41" s="234" t="s">
        <v>448</v>
      </c>
      <c r="F41" s="234" t="s">
        <v>448</v>
      </c>
      <c r="G41" s="234" t="s">
        <v>448</v>
      </c>
      <c r="H41" s="234" t="s">
        <v>448</v>
      </c>
      <c r="I41" s="234" t="s">
        <v>448</v>
      </c>
      <c r="J41" s="234" t="s">
        <v>448</v>
      </c>
    </row>
    <row r="42" spans="1:11" s="173" customFormat="1" ht="13.8" thickBot="1" x14ac:dyDescent="0.3">
      <c r="A42" s="171">
        <v>3</v>
      </c>
      <c r="B42" s="172" t="s">
        <v>17</v>
      </c>
      <c r="C42" s="234" t="s">
        <v>449</v>
      </c>
      <c r="D42" s="234" t="s">
        <v>449</v>
      </c>
      <c r="E42" s="234" t="s">
        <v>449</v>
      </c>
      <c r="F42" s="234" t="s">
        <v>449</v>
      </c>
      <c r="G42" s="234" t="s">
        <v>449</v>
      </c>
      <c r="H42" s="234" t="s">
        <v>449</v>
      </c>
      <c r="I42" s="234" t="s">
        <v>449</v>
      </c>
      <c r="J42" s="234" t="s">
        <v>449</v>
      </c>
    </row>
    <row r="43" spans="1:11" s="173" customFormat="1" ht="13.8" thickBot="1" x14ac:dyDescent="0.3">
      <c r="A43" s="171">
        <v>4</v>
      </c>
      <c r="B43" s="172" t="s">
        <v>18</v>
      </c>
      <c r="C43" s="234" t="s">
        <v>450</v>
      </c>
      <c r="D43" s="234" t="s">
        <v>450</v>
      </c>
      <c r="E43" s="234" t="s">
        <v>450</v>
      </c>
      <c r="F43" s="234" t="s">
        <v>450</v>
      </c>
      <c r="G43" s="234" t="s">
        <v>450</v>
      </c>
      <c r="H43" s="234" t="s">
        <v>450</v>
      </c>
      <c r="I43" s="234" t="s">
        <v>450</v>
      </c>
      <c r="J43" s="234" t="s">
        <v>450</v>
      </c>
    </row>
    <row r="44" spans="1:11" s="173" customFormat="1" ht="13.8" thickBot="1" x14ac:dyDescent="0.3">
      <c r="A44" s="171">
        <v>6</v>
      </c>
      <c r="B44" s="172" t="s">
        <v>19</v>
      </c>
      <c r="C44" s="234" t="s">
        <v>451</v>
      </c>
      <c r="D44" s="234" t="s">
        <v>451</v>
      </c>
      <c r="E44" s="234" t="s">
        <v>451</v>
      </c>
      <c r="F44" s="234" t="s">
        <v>451</v>
      </c>
      <c r="G44" s="234" t="s">
        <v>451</v>
      </c>
      <c r="H44" s="234" t="s">
        <v>451</v>
      </c>
      <c r="I44" s="234" t="s">
        <v>451</v>
      </c>
      <c r="J44" s="234" t="s">
        <v>451</v>
      </c>
    </row>
    <row r="45" spans="1:11" s="173" customFormat="1" ht="13.8" thickBot="1" x14ac:dyDescent="0.3">
      <c r="A45" s="171">
        <v>7</v>
      </c>
      <c r="B45" s="172" t="s">
        <v>20</v>
      </c>
      <c r="C45" s="234" t="s">
        <v>253</v>
      </c>
      <c r="D45" s="234" t="s">
        <v>253</v>
      </c>
      <c r="E45" s="234" t="s">
        <v>253</v>
      </c>
      <c r="F45" s="234" t="s">
        <v>253</v>
      </c>
      <c r="G45" s="234" t="s">
        <v>253</v>
      </c>
      <c r="H45" s="234" t="s">
        <v>253</v>
      </c>
      <c r="I45" s="234" t="s">
        <v>253</v>
      </c>
      <c r="J45" s="234" t="s">
        <v>253</v>
      </c>
    </row>
    <row r="46" spans="1:11" s="173" customFormat="1" ht="13.8" thickBot="1" x14ac:dyDescent="0.3">
      <c r="A46" s="171">
        <v>8</v>
      </c>
      <c r="B46" s="172" t="s">
        <v>351</v>
      </c>
      <c r="C46" s="234" t="s">
        <v>253</v>
      </c>
      <c r="D46" s="234" t="s">
        <v>253</v>
      </c>
      <c r="E46" s="234" t="s">
        <v>253</v>
      </c>
      <c r="F46" s="234" t="s">
        <v>253</v>
      </c>
      <c r="G46" s="234" t="s">
        <v>253</v>
      </c>
      <c r="H46" s="234" t="s">
        <v>253</v>
      </c>
      <c r="I46" s="234" t="s">
        <v>253</v>
      </c>
      <c r="J46" s="234" t="s">
        <v>253</v>
      </c>
    </row>
    <row r="47" spans="1:11" s="173" customFormat="1" ht="25.8" thickBot="1" x14ac:dyDescent="0.3">
      <c r="A47" s="171">
        <v>9</v>
      </c>
      <c r="B47" s="172" t="s">
        <v>353</v>
      </c>
      <c r="C47" s="234" t="s">
        <v>452</v>
      </c>
      <c r="D47" s="234" t="s">
        <v>452</v>
      </c>
      <c r="E47" s="234" t="s">
        <v>452</v>
      </c>
      <c r="F47" s="234" t="s">
        <v>452</v>
      </c>
      <c r="G47" s="234" t="s">
        <v>452</v>
      </c>
      <c r="H47" s="234" t="s">
        <v>452</v>
      </c>
      <c r="I47" s="234" t="s">
        <v>452</v>
      </c>
      <c r="J47" s="234" t="s">
        <v>452</v>
      </c>
    </row>
    <row r="48" spans="1:11" s="173" customFormat="1" ht="13.8" thickBot="1" x14ac:dyDescent="0.3">
      <c r="A48" s="171">
        <v>10</v>
      </c>
      <c r="B48" s="172" t="s">
        <v>355</v>
      </c>
      <c r="C48" s="235">
        <v>0.999</v>
      </c>
      <c r="D48" s="235">
        <v>0.69</v>
      </c>
      <c r="E48" s="235">
        <v>0.99</v>
      </c>
      <c r="F48" s="235">
        <v>0.98</v>
      </c>
      <c r="G48" s="235">
        <v>0.998</v>
      </c>
      <c r="H48" s="235">
        <v>0.98899999999999999</v>
      </c>
      <c r="I48" s="235">
        <v>0.69</v>
      </c>
      <c r="J48" s="235">
        <v>0.95</v>
      </c>
    </row>
    <row r="49" spans="1:20" ht="13.8" thickBot="1" x14ac:dyDescent="0.3"/>
    <row r="50" spans="1:20" ht="13.8" thickBot="1" x14ac:dyDescent="0.3">
      <c r="B50" s="229" t="s">
        <v>47</v>
      </c>
    </row>
    <row r="51" spans="1:20" ht="13.8" thickBot="1" x14ac:dyDescent="0.3">
      <c r="A51" s="220" t="s">
        <v>0</v>
      </c>
      <c r="B51" s="220" t="s">
        <v>1</v>
      </c>
      <c r="C51" s="220" t="s">
        <v>135</v>
      </c>
      <c r="D51" s="220" t="s">
        <v>136</v>
      </c>
      <c r="E51" s="220" t="s">
        <v>137</v>
      </c>
      <c r="F51" s="220" t="s">
        <v>138</v>
      </c>
      <c r="G51" s="220" t="s">
        <v>291</v>
      </c>
      <c r="H51" s="220" t="s">
        <v>139</v>
      </c>
      <c r="I51" s="220" t="s">
        <v>140</v>
      </c>
      <c r="J51" s="220" t="s">
        <v>141</v>
      </c>
      <c r="K51" s="220" t="s">
        <v>292</v>
      </c>
      <c r="L51" s="220" t="s">
        <v>147</v>
      </c>
      <c r="M51" s="220" t="s">
        <v>142</v>
      </c>
      <c r="N51" s="220" t="s">
        <v>143</v>
      </c>
      <c r="O51" s="220" t="s">
        <v>293</v>
      </c>
      <c r="P51" s="220" t="s">
        <v>144</v>
      </c>
      <c r="Q51" s="220" t="s">
        <v>294</v>
      </c>
      <c r="R51" s="220" t="s">
        <v>145</v>
      </c>
      <c r="S51" s="236"/>
      <c r="T51" s="236"/>
    </row>
    <row r="52" spans="1:20" ht="27" thickBot="1" x14ac:dyDescent="0.3">
      <c r="A52" s="242">
        <v>1</v>
      </c>
      <c r="B52" s="243" t="s">
        <v>15</v>
      </c>
      <c r="C52" s="207" t="s">
        <v>133</v>
      </c>
      <c r="D52" s="207" t="s">
        <v>133</v>
      </c>
      <c r="E52" s="207" t="s">
        <v>453</v>
      </c>
      <c r="F52" s="207" t="s">
        <v>297</v>
      </c>
      <c r="G52" s="207" t="s">
        <v>133</v>
      </c>
      <c r="H52" s="207" t="s">
        <v>297</v>
      </c>
      <c r="I52" s="207" t="s">
        <v>454</v>
      </c>
      <c r="J52" s="207" t="s">
        <v>133</v>
      </c>
      <c r="K52" s="207" t="s">
        <v>133</v>
      </c>
      <c r="L52" s="207" t="s">
        <v>455</v>
      </c>
      <c r="M52" s="207" t="s">
        <v>300</v>
      </c>
      <c r="N52" s="207" t="s">
        <v>455</v>
      </c>
      <c r="O52" s="207" t="s">
        <v>456</v>
      </c>
      <c r="P52" s="207" t="s">
        <v>133</v>
      </c>
      <c r="Q52" s="207" t="s">
        <v>453</v>
      </c>
      <c r="R52" s="207" t="s">
        <v>300</v>
      </c>
    </row>
    <row r="53" spans="1:20" ht="27" thickBot="1" x14ac:dyDescent="0.3">
      <c r="A53" s="242">
        <v>2</v>
      </c>
      <c r="B53" s="243" t="s">
        <v>16</v>
      </c>
      <c r="C53" s="207" t="s">
        <v>134</v>
      </c>
      <c r="D53" s="207" t="s">
        <v>134</v>
      </c>
      <c r="E53" s="207" t="s">
        <v>457</v>
      </c>
      <c r="F53" s="207" t="s">
        <v>97</v>
      </c>
      <c r="G53" s="207" t="s">
        <v>134</v>
      </c>
      <c r="H53" s="207" t="s">
        <v>97</v>
      </c>
      <c r="I53" s="207" t="s">
        <v>458</v>
      </c>
      <c r="J53" s="207" t="s">
        <v>134</v>
      </c>
      <c r="K53" s="207" t="s">
        <v>134</v>
      </c>
      <c r="L53" s="207" t="s">
        <v>459</v>
      </c>
      <c r="M53" s="207" t="s">
        <v>300</v>
      </c>
      <c r="N53" s="207" t="s">
        <v>459</v>
      </c>
      <c r="O53" s="207" t="s">
        <v>460</v>
      </c>
      <c r="P53" s="207" t="s">
        <v>134</v>
      </c>
      <c r="Q53" s="207" t="s">
        <v>134</v>
      </c>
      <c r="R53" s="207" t="s">
        <v>300</v>
      </c>
    </row>
    <row r="54" spans="1:20" ht="27" thickBot="1" x14ac:dyDescent="0.3">
      <c r="A54" s="242">
        <v>3</v>
      </c>
      <c r="B54" s="243" t="s">
        <v>17</v>
      </c>
      <c r="C54" s="207" t="s">
        <v>163</v>
      </c>
      <c r="D54" s="207" t="s">
        <v>163</v>
      </c>
      <c r="E54" s="207" t="s">
        <v>461</v>
      </c>
      <c r="F54" s="207" t="s">
        <v>97</v>
      </c>
      <c r="G54" s="207" t="s">
        <v>163</v>
      </c>
      <c r="H54" s="207" t="s">
        <v>97</v>
      </c>
      <c r="I54" s="207" t="s">
        <v>462</v>
      </c>
      <c r="J54" s="207" t="s">
        <v>163</v>
      </c>
      <c r="K54" s="207" t="s">
        <v>163</v>
      </c>
      <c r="L54" s="207" t="s">
        <v>463</v>
      </c>
      <c r="M54" s="207" t="s">
        <v>300</v>
      </c>
      <c r="N54" s="207" t="s">
        <v>464</v>
      </c>
      <c r="O54" s="207" t="s">
        <v>465</v>
      </c>
      <c r="P54" s="207" t="s">
        <v>163</v>
      </c>
      <c r="Q54" s="207" t="s">
        <v>466</v>
      </c>
      <c r="R54" s="207" t="s">
        <v>300</v>
      </c>
    </row>
    <row r="55" spans="1:20" ht="27" thickBot="1" x14ac:dyDescent="0.3">
      <c r="A55" s="242">
        <v>4</v>
      </c>
      <c r="B55" s="243" t="s">
        <v>18</v>
      </c>
      <c r="C55" s="207" t="s">
        <v>65</v>
      </c>
      <c r="D55" s="207" t="s">
        <v>467</v>
      </c>
      <c r="E55" s="207" t="s">
        <v>468</v>
      </c>
      <c r="F55" s="207" t="s">
        <v>97</v>
      </c>
      <c r="G55" s="207" t="s">
        <v>65</v>
      </c>
      <c r="H55" s="207" t="s">
        <v>97</v>
      </c>
      <c r="I55" s="207" t="s">
        <v>469</v>
      </c>
      <c r="J55" s="207" t="s">
        <v>65</v>
      </c>
      <c r="K55" s="207" t="s">
        <v>65</v>
      </c>
      <c r="L55" s="207" t="s">
        <v>470</v>
      </c>
      <c r="M55" s="207" t="s">
        <v>300</v>
      </c>
      <c r="N55" s="207" t="s">
        <v>470</v>
      </c>
      <c r="O55" s="207" t="s">
        <v>258</v>
      </c>
      <c r="P55" s="207" t="s">
        <v>65</v>
      </c>
      <c r="Q55" s="207" t="s">
        <v>65</v>
      </c>
      <c r="R55" s="207" t="s">
        <v>300</v>
      </c>
    </row>
    <row r="56" spans="1:20" ht="13.8" thickBot="1" x14ac:dyDescent="0.3">
      <c r="A56" s="242">
        <v>5</v>
      </c>
      <c r="B56" s="243" t="s">
        <v>19</v>
      </c>
      <c r="C56" s="207" t="s">
        <v>439</v>
      </c>
      <c r="D56" s="207" t="s">
        <v>471</v>
      </c>
      <c r="E56" s="207" t="s">
        <v>245</v>
      </c>
      <c r="F56" s="207" t="s">
        <v>97</v>
      </c>
      <c r="G56" s="207" t="s">
        <v>439</v>
      </c>
      <c r="H56" s="207" t="s">
        <v>97</v>
      </c>
      <c r="I56" s="207" t="s">
        <v>431</v>
      </c>
      <c r="J56" s="207">
        <v>0.1</v>
      </c>
      <c r="K56" s="207"/>
      <c r="L56" s="207" t="s">
        <v>97</v>
      </c>
      <c r="M56" s="207" t="s">
        <v>300</v>
      </c>
      <c r="N56" s="207" t="s">
        <v>97</v>
      </c>
      <c r="O56" s="207" t="s">
        <v>253</v>
      </c>
      <c r="P56" s="207">
        <v>0.1</v>
      </c>
      <c r="Q56" s="207" t="s">
        <v>253</v>
      </c>
      <c r="R56" s="207" t="s">
        <v>300</v>
      </c>
    </row>
    <row r="57" spans="1:20" ht="13.8" thickBot="1" x14ac:dyDescent="0.3">
      <c r="A57" s="242">
        <v>6</v>
      </c>
      <c r="B57" s="243" t="s">
        <v>20</v>
      </c>
      <c r="C57" s="207" t="s">
        <v>258</v>
      </c>
      <c r="D57" s="207" t="s">
        <v>66</v>
      </c>
      <c r="E57" s="207" t="s">
        <v>348</v>
      </c>
      <c r="F57" s="207" t="s">
        <v>97</v>
      </c>
      <c r="G57" s="207" t="s">
        <v>258</v>
      </c>
      <c r="H57" s="207" t="s">
        <v>97</v>
      </c>
      <c r="I57" s="207" t="s">
        <v>472</v>
      </c>
      <c r="J57" s="207" t="s">
        <v>473</v>
      </c>
      <c r="K57" s="207"/>
      <c r="L57" s="207" t="s">
        <v>97</v>
      </c>
      <c r="M57" s="207" t="s">
        <v>300</v>
      </c>
      <c r="N57" s="207" t="s">
        <v>97</v>
      </c>
      <c r="O57" s="207" t="s">
        <v>253</v>
      </c>
      <c r="P57" s="207" t="s">
        <v>473</v>
      </c>
      <c r="Q57" s="207" t="s">
        <v>473</v>
      </c>
      <c r="R57" s="207" t="s">
        <v>300</v>
      </c>
    </row>
    <row r="58" spans="1:20" ht="27" thickBot="1" x14ac:dyDescent="0.3">
      <c r="A58" s="242">
        <v>7</v>
      </c>
      <c r="B58" s="243" t="s">
        <v>351</v>
      </c>
      <c r="C58" s="207">
        <v>2</v>
      </c>
      <c r="D58" s="207" t="s">
        <v>474</v>
      </c>
      <c r="E58" s="207" t="s">
        <v>475</v>
      </c>
      <c r="F58" s="207" t="s">
        <v>97</v>
      </c>
      <c r="G58" s="207">
        <v>2</v>
      </c>
      <c r="H58" s="207" t="s">
        <v>97</v>
      </c>
      <c r="I58" s="207" t="s">
        <v>476</v>
      </c>
      <c r="J58" s="207" t="s">
        <v>299</v>
      </c>
      <c r="K58" s="207">
        <v>2</v>
      </c>
      <c r="L58" s="207" t="s">
        <v>97</v>
      </c>
      <c r="M58" s="207" t="s">
        <v>300</v>
      </c>
      <c r="N58" s="207" t="s">
        <v>97</v>
      </c>
      <c r="O58" s="207" t="s">
        <v>253</v>
      </c>
      <c r="P58" s="207" t="s">
        <v>299</v>
      </c>
      <c r="Q58" s="207" t="s">
        <v>477</v>
      </c>
      <c r="R58" s="207" t="s">
        <v>300</v>
      </c>
    </row>
    <row r="59" spans="1:20" ht="43.5" customHeight="1" thickBot="1" x14ac:dyDescent="0.3">
      <c r="A59" s="242">
        <v>8</v>
      </c>
      <c r="B59" s="243" t="s">
        <v>478</v>
      </c>
      <c r="C59" s="208" t="s">
        <v>479</v>
      </c>
      <c r="D59" s="208" t="s">
        <v>480</v>
      </c>
      <c r="E59" s="208">
        <v>45935</v>
      </c>
      <c r="F59" s="208">
        <v>45902</v>
      </c>
      <c r="G59" s="208" t="s">
        <v>479</v>
      </c>
      <c r="H59" s="208">
        <v>45902</v>
      </c>
      <c r="I59" s="208">
        <v>45931</v>
      </c>
      <c r="J59" s="208">
        <v>45931.000474537039</v>
      </c>
      <c r="K59" s="208">
        <v>2</v>
      </c>
      <c r="L59" s="207" t="s">
        <v>97</v>
      </c>
      <c r="M59" s="207" t="s">
        <v>300</v>
      </c>
      <c r="N59" s="207" t="s">
        <v>97</v>
      </c>
      <c r="O59" s="207" t="s">
        <v>253</v>
      </c>
      <c r="P59" s="244">
        <v>45933.694444444445</v>
      </c>
      <c r="Q59" s="207" t="s">
        <v>481</v>
      </c>
      <c r="R59" s="207" t="s">
        <v>300</v>
      </c>
    </row>
    <row r="60" spans="1:20" ht="13.8" thickBot="1" x14ac:dyDescent="0.3">
      <c r="A60" s="243">
        <v>9</v>
      </c>
      <c r="B60" s="243" t="s">
        <v>482</v>
      </c>
      <c r="C60" s="209">
        <v>1</v>
      </c>
      <c r="D60" s="209">
        <v>1</v>
      </c>
      <c r="E60" s="209">
        <v>1</v>
      </c>
      <c r="F60" s="209">
        <v>1</v>
      </c>
      <c r="G60" s="209">
        <v>1</v>
      </c>
      <c r="H60" s="209">
        <v>1</v>
      </c>
      <c r="I60" s="209">
        <v>1</v>
      </c>
      <c r="J60" s="209">
        <v>0</v>
      </c>
      <c r="K60" s="209">
        <v>0.98</v>
      </c>
      <c r="L60" s="209">
        <v>1</v>
      </c>
      <c r="M60" s="207" t="s">
        <v>300</v>
      </c>
      <c r="N60" s="209">
        <v>1</v>
      </c>
      <c r="O60" s="209">
        <v>1</v>
      </c>
      <c r="P60" s="209">
        <v>0.25</v>
      </c>
      <c r="Q60" s="209">
        <v>0.97</v>
      </c>
      <c r="R60" s="207" t="s">
        <v>300</v>
      </c>
    </row>
    <row r="61" spans="1:20" ht="13.8" thickBot="1" x14ac:dyDescent="0.3">
      <c r="A61" s="242">
        <v>10</v>
      </c>
      <c r="B61" s="243" t="s">
        <v>239</v>
      </c>
      <c r="C61" s="207"/>
      <c r="D61" s="207"/>
      <c r="E61" s="207"/>
      <c r="F61" s="207"/>
      <c r="G61" s="207"/>
      <c r="H61" s="207"/>
      <c r="I61" s="207"/>
      <c r="J61" s="207"/>
      <c r="K61" s="207"/>
      <c r="L61" s="207"/>
      <c r="M61" s="207" t="s">
        <v>300</v>
      </c>
      <c r="N61" s="207"/>
      <c r="O61" s="207"/>
      <c r="P61" s="207"/>
      <c r="Q61" s="207"/>
      <c r="R61" s="207" t="s">
        <v>300</v>
      </c>
    </row>
    <row r="62" spans="1:20" ht="13.8" thickBot="1" x14ac:dyDescent="0.3">
      <c r="A62" s="245"/>
      <c r="B62" s="245"/>
      <c r="C62" s="210"/>
      <c r="D62" s="210"/>
      <c r="E62" s="210"/>
      <c r="F62" s="210"/>
      <c r="G62" s="210"/>
      <c r="H62" s="210"/>
      <c r="I62" s="210"/>
      <c r="J62" s="210"/>
      <c r="K62" s="210"/>
      <c r="L62" s="210"/>
      <c r="M62" s="210"/>
      <c r="N62" s="210"/>
      <c r="O62" s="210"/>
      <c r="P62" s="210"/>
      <c r="Q62" s="210"/>
      <c r="R62" s="210"/>
    </row>
    <row r="63" spans="1:20" s="173" customFormat="1" ht="13.8" thickBot="1" x14ac:dyDescent="0.3">
      <c r="B63" s="229" t="s">
        <v>27</v>
      </c>
      <c r="C63" s="237"/>
      <c r="D63" s="237"/>
      <c r="E63" s="237"/>
      <c r="F63" s="237"/>
      <c r="G63" s="237"/>
      <c r="H63" s="237"/>
      <c r="I63" s="237"/>
      <c r="J63" s="237"/>
      <c r="K63" s="237"/>
      <c r="L63" s="237"/>
      <c r="M63" s="237"/>
    </row>
    <row r="64" spans="1:20" s="232" customFormat="1" thickBot="1" x14ac:dyDescent="0.25">
      <c r="A64" s="220" t="s">
        <v>0</v>
      </c>
      <c r="B64" s="220" t="s">
        <v>1</v>
      </c>
      <c r="C64" s="220" t="s">
        <v>12</v>
      </c>
      <c r="D64" s="220" t="s">
        <v>14</v>
      </c>
      <c r="E64" s="220" t="s">
        <v>13</v>
      </c>
      <c r="F64" s="220" t="s">
        <v>9</v>
      </c>
      <c r="G64" s="220" t="s">
        <v>164</v>
      </c>
      <c r="H64" s="220" t="s">
        <v>2</v>
      </c>
      <c r="I64" s="220" t="s">
        <v>3</v>
      </c>
      <c r="J64" s="220" t="s">
        <v>148</v>
      </c>
      <c r="K64" s="220" t="s">
        <v>96</v>
      </c>
      <c r="L64" s="220" t="s">
        <v>4</v>
      </c>
      <c r="M64" s="220" t="s">
        <v>5</v>
      </c>
      <c r="N64" s="220" t="s">
        <v>6</v>
      </c>
      <c r="O64" s="220" t="s">
        <v>7</v>
      </c>
      <c r="P64" s="220" t="s">
        <v>8</v>
      </c>
    </row>
    <row r="65" spans="1:16" s="173" customFormat="1" ht="40.200000000000003" thickBot="1" x14ac:dyDescent="0.3">
      <c r="A65" s="242">
        <v>1</v>
      </c>
      <c r="B65" s="243" t="s">
        <v>15</v>
      </c>
      <c r="C65" s="238" t="s">
        <v>133</v>
      </c>
      <c r="D65" s="238" t="s">
        <v>133</v>
      </c>
      <c r="E65" s="238" t="s">
        <v>422</v>
      </c>
      <c r="F65" s="238" t="s">
        <v>423</v>
      </c>
      <c r="G65" s="238" t="s">
        <v>424</v>
      </c>
      <c r="H65" s="238" t="s">
        <v>424</v>
      </c>
      <c r="I65" s="224" t="s">
        <v>425</v>
      </c>
      <c r="J65" s="238" t="s">
        <v>423</v>
      </c>
      <c r="K65" s="238" t="s">
        <v>426</v>
      </c>
      <c r="L65" s="238" t="s">
        <v>426</v>
      </c>
      <c r="M65" s="238" t="s">
        <v>133</v>
      </c>
      <c r="N65" s="239" t="s">
        <v>485</v>
      </c>
      <c r="O65" s="239" t="s">
        <v>486</v>
      </c>
      <c r="P65" s="239" t="s">
        <v>486</v>
      </c>
    </row>
    <row r="66" spans="1:16" s="173" customFormat="1" ht="27" thickBot="1" x14ac:dyDescent="0.3">
      <c r="A66" s="242">
        <v>2</v>
      </c>
      <c r="B66" s="243" t="s">
        <v>427</v>
      </c>
      <c r="C66" s="224" t="s">
        <v>134</v>
      </c>
      <c r="D66" s="224" t="s">
        <v>134</v>
      </c>
      <c r="E66" s="224" t="s">
        <v>428</v>
      </c>
      <c r="F66" s="224" t="s">
        <v>429</v>
      </c>
      <c r="G66" s="224" t="s">
        <v>430</v>
      </c>
      <c r="H66" s="224" t="s">
        <v>430</v>
      </c>
      <c r="I66" s="224" t="s">
        <v>253</v>
      </c>
      <c r="J66" s="224" t="s">
        <v>429</v>
      </c>
      <c r="K66" s="224" t="s">
        <v>426</v>
      </c>
      <c r="L66" s="224" t="s">
        <v>426</v>
      </c>
      <c r="M66" s="224" t="s">
        <v>134</v>
      </c>
      <c r="N66" s="240" t="s">
        <v>487</v>
      </c>
      <c r="O66" s="240" t="s">
        <v>488</v>
      </c>
      <c r="P66" s="240" t="s">
        <v>488</v>
      </c>
    </row>
    <row r="67" spans="1:16" s="173" customFormat="1" ht="27" thickBot="1" x14ac:dyDescent="0.3">
      <c r="A67" s="242">
        <v>3</v>
      </c>
      <c r="B67" s="243" t="s">
        <v>17</v>
      </c>
      <c r="C67" s="224" t="s">
        <v>163</v>
      </c>
      <c r="D67" s="224" t="s">
        <v>163</v>
      </c>
      <c r="E67" s="224" t="s">
        <v>431</v>
      </c>
      <c r="F67" s="224" t="s">
        <v>432</v>
      </c>
      <c r="G67" s="224" t="s">
        <v>433</v>
      </c>
      <c r="H67" s="224" t="s">
        <v>433</v>
      </c>
      <c r="I67" s="224" t="s">
        <v>253</v>
      </c>
      <c r="J67" s="224" t="s">
        <v>432</v>
      </c>
      <c r="K67" s="224" t="s">
        <v>434</v>
      </c>
      <c r="L67" s="224" t="s">
        <v>434</v>
      </c>
      <c r="M67" s="224" t="s">
        <v>163</v>
      </c>
      <c r="N67" s="240" t="s">
        <v>489</v>
      </c>
      <c r="O67" s="224" t="s">
        <v>112</v>
      </c>
      <c r="P67" s="224" t="s">
        <v>112</v>
      </c>
    </row>
    <row r="68" spans="1:16" s="173" customFormat="1" ht="27" thickBot="1" x14ac:dyDescent="0.3">
      <c r="A68" s="242">
        <v>4</v>
      </c>
      <c r="B68" s="243" t="s">
        <v>18</v>
      </c>
      <c r="C68" s="224" t="s">
        <v>65</v>
      </c>
      <c r="D68" s="224" t="s">
        <v>65</v>
      </c>
      <c r="E68" s="224" t="s">
        <v>435</v>
      </c>
      <c r="F68" s="224" t="s">
        <v>436</v>
      </c>
      <c r="G68" s="224" t="s">
        <v>437</v>
      </c>
      <c r="H68" s="224" t="s">
        <v>437</v>
      </c>
      <c r="I68" s="224" t="s">
        <v>425</v>
      </c>
      <c r="J68" s="224" t="s">
        <v>436</v>
      </c>
      <c r="K68" s="224" t="s">
        <v>438</v>
      </c>
      <c r="L68" s="224" t="s">
        <v>438</v>
      </c>
      <c r="M68" s="224" t="s">
        <v>65</v>
      </c>
      <c r="N68" s="240" t="s">
        <v>490</v>
      </c>
      <c r="O68" s="240" t="s">
        <v>65</v>
      </c>
      <c r="P68" s="240" t="s">
        <v>65</v>
      </c>
    </row>
    <row r="69" spans="1:16" s="173" customFormat="1" ht="40.200000000000003" thickBot="1" x14ac:dyDescent="0.3">
      <c r="A69" s="242">
        <v>6</v>
      </c>
      <c r="B69" s="243" t="s">
        <v>19</v>
      </c>
      <c r="C69" s="224" t="s">
        <v>439</v>
      </c>
      <c r="D69" s="224" t="s">
        <v>439</v>
      </c>
      <c r="E69" s="224" t="s">
        <v>440</v>
      </c>
      <c r="F69" s="224" t="s">
        <v>441</v>
      </c>
      <c r="G69" s="224" t="s">
        <v>295</v>
      </c>
      <c r="H69" s="224" t="s">
        <v>295</v>
      </c>
      <c r="I69" s="224" t="s">
        <v>253</v>
      </c>
      <c r="J69" s="224" t="s">
        <v>441</v>
      </c>
      <c r="K69" s="224" t="s">
        <v>442</v>
      </c>
      <c r="L69" s="224" t="s">
        <v>442</v>
      </c>
      <c r="M69" s="224" t="s">
        <v>439</v>
      </c>
      <c r="N69" s="224" t="s">
        <v>762</v>
      </c>
      <c r="O69" s="240" t="s">
        <v>491</v>
      </c>
      <c r="P69" s="240" t="s">
        <v>491</v>
      </c>
    </row>
    <row r="70" spans="1:16" s="173" customFormat="1" ht="31.5" customHeight="1" thickBot="1" x14ac:dyDescent="0.3">
      <c r="A70" s="242">
        <v>7</v>
      </c>
      <c r="B70" s="243" t="s">
        <v>20</v>
      </c>
      <c r="C70" s="224" t="s">
        <v>245</v>
      </c>
      <c r="D70" s="224" t="s">
        <v>443</v>
      </c>
      <c r="E70" s="224" t="s">
        <v>444</v>
      </c>
      <c r="F70" s="224" t="s">
        <v>445</v>
      </c>
      <c r="G70" s="224" t="s">
        <v>295</v>
      </c>
      <c r="H70" s="224" t="s">
        <v>295</v>
      </c>
      <c r="I70" s="224" t="s">
        <v>253</v>
      </c>
      <c r="J70" s="224" t="s">
        <v>445</v>
      </c>
      <c r="K70" s="224" t="s">
        <v>426</v>
      </c>
      <c r="L70" s="224" t="s">
        <v>426</v>
      </c>
      <c r="M70" s="224" t="s">
        <v>245</v>
      </c>
      <c r="N70" s="224" t="s">
        <v>258</v>
      </c>
      <c r="O70" s="224" t="s">
        <v>253</v>
      </c>
      <c r="P70" s="224" t="s">
        <v>253</v>
      </c>
    </row>
    <row r="71" spans="1:16" s="173" customFormat="1" ht="27.75" customHeight="1" thickBot="1" x14ac:dyDescent="0.3">
      <c r="A71" s="242">
        <v>8</v>
      </c>
      <c r="B71" s="243" t="s">
        <v>351</v>
      </c>
      <c r="C71" s="224" t="s">
        <v>253</v>
      </c>
      <c r="D71" s="224" t="s">
        <v>253</v>
      </c>
      <c r="E71" s="224" t="s">
        <v>253</v>
      </c>
      <c r="F71" s="224" t="s">
        <v>417</v>
      </c>
      <c r="G71" s="224" t="s">
        <v>295</v>
      </c>
      <c r="H71" s="224" t="s">
        <v>295</v>
      </c>
      <c r="I71" s="224" t="s">
        <v>253</v>
      </c>
      <c r="J71" s="224" t="s">
        <v>417</v>
      </c>
      <c r="K71" s="224" t="s">
        <v>418</v>
      </c>
      <c r="L71" s="224" t="s">
        <v>418</v>
      </c>
      <c r="M71" s="224" t="s">
        <v>253</v>
      </c>
      <c r="N71" s="224" t="s">
        <v>256</v>
      </c>
      <c r="O71" s="224" t="s">
        <v>253</v>
      </c>
      <c r="P71" s="224" t="s">
        <v>253</v>
      </c>
    </row>
    <row r="72" spans="1:16" s="173" customFormat="1" ht="27" thickBot="1" x14ac:dyDescent="0.3">
      <c r="A72" s="242">
        <v>9</v>
      </c>
      <c r="B72" s="243" t="s">
        <v>353</v>
      </c>
      <c r="C72" s="224" t="s">
        <v>492</v>
      </c>
      <c r="D72" s="224" t="s">
        <v>492</v>
      </c>
      <c r="E72" s="224" t="s">
        <v>419</v>
      </c>
      <c r="F72" s="224" t="s">
        <v>420</v>
      </c>
      <c r="G72" s="224" t="s">
        <v>492</v>
      </c>
      <c r="H72" s="224" t="s">
        <v>492</v>
      </c>
      <c r="I72" s="224" t="s">
        <v>253</v>
      </c>
      <c r="J72" s="224" t="s">
        <v>420</v>
      </c>
      <c r="K72" s="224" t="s">
        <v>492</v>
      </c>
      <c r="L72" s="224" t="s">
        <v>492</v>
      </c>
      <c r="M72" s="224" t="s">
        <v>492</v>
      </c>
      <c r="N72" s="224" t="s">
        <v>483</v>
      </c>
      <c r="O72" s="224" t="s">
        <v>492</v>
      </c>
      <c r="P72" s="224" t="s">
        <v>492</v>
      </c>
    </row>
    <row r="73" spans="1:16" s="173" customFormat="1" ht="13.8" thickBot="1" x14ac:dyDescent="0.3">
      <c r="A73" s="242">
        <v>10</v>
      </c>
      <c r="B73" s="243" t="s">
        <v>355</v>
      </c>
      <c r="C73" s="209">
        <v>1</v>
      </c>
      <c r="D73" s="209">
        <v>1</v>
      </c>
      <c r="E73" s="209">
        <v>1</v>
      </c>
      <c r="F73" s="209">
        <v>1</v>
      </c>
      <c r="G73" s="209" t="s">
        <v>258</v>
      </c>
      <c r="H73" s="209">
        <v>1</v>
      </c>
      <c r="I73" s="209">
        <v>1</v>
      </c>
      <c r="J73" s="209">
        <v>0.59350000000000003</v>
      </c>
      <c r="K73" s="209"/>
      <c r="L73" s="209"/>
      <c r="M73" s="209">
        <v>1</v>
      </c>
      <c r="N73" s="209" t="s">
        <v>484</v>
      </c>
      <c r="O73" s="209">
        <v>1</v>
      </c>
      <c r="P73" s="209">
        <v>1</v>
      </c>
    </row>
    <row r="74" spans="1:16" ht="13.8" thickBot="1" x14ac:dyDescent="0.3"/>
    <row r="75" spans="1:16" s="173" customFormat="1" ht="13.8" thickBot="1" x14ac:dyDescent="0.3">
      <c r="B75" s="229" t="s">
        <v>132</v>
      </c>
    </row>
    <row r="76" spans="1:16" s="173" customFormat="1" ht="13.8" thickBot="1" x14ac:dyDescent="0.3">
      <c r="A76" s="253" t="s">
        <v>0</v>
      </c>
      <c r="B76" s="254" t="s">
        <v>1</v>
      </c>
      <c r="C76" s="255" t="s">
        <v>92</v>
      </c>
      <c r="D76" s="255" t="s">
        <v>93</v>
      </c>
      <c r="E76" s="256" t="s">
        <v>94</v>
      </c>
      <c r="F76" s="257" t="s">
        <v>95</v>
      </c>
    </row>
    <row r="77" spans="1:16" s="173" customFormat="1" ht="27" thickBot="1" x14ac:dyDescent="0.3">
      <c r="A77" s="246">
        <v>1</v>
      </c>
      <c r="B77" s="247" t="s">
        <v>15</v>
      </c>
      <c r="C77" s="249" t="s">
        <v>493</v>
      </c>
      <c r="D77" s="249" t="s">
        <v>493</v>
      </c>
      <c r="E77" s="249" t="s">
        <v>493</v>
      </c>
      <c r="F77" s="249" t="s">
        <v>493</v>
      </c>
    </row>
    <row r="78" spans="1:16" s="173" customFormat="1" ht="13.8" thickBot="1" x14ac:dyDescent="0.3">
      <c r="A78" s="214">
        <v>2</v>
      </c>
      <c r="B78" s="248" t="s">
        <v>427</v>
      </c>
      <c r="C78" s="249" t="s">
        <v>494</v>
      </c>
      <c r="D78" s="249" t="s">
        <v>494</v>
      </c>
      <c r="E78" s="249" t="s">
        <v>494</v>
      </c>
      <c r="F78" s="249" t="s">
        <v>494</v>
      </c>
    </row>
    <row r="79" spans="1:16" s="173" customFormat="1" ht="13.8" thickBot="1" x14ac:dyDescent="0.3">
      <c r="A79" s="214">
        <v>3</v>
      </c>
      <c r="B79" s="248" t="s">
        <v>17</v>
      </c>
      <c r="C79" s="250" t="s">
        <v>495</v>
      </c>
      <c r="D79" s="250" t="s">
        <v>495</v>
      </c>
      <c r="E79" s="250" t="s">
        <v>495</v>
      </c>
      <c r="F79" s="250" t="s">
        <v>495</v>
      </c>
    </row>
    <row r="80" spans="1:16" s="173" customFormat="1" ht="13.8" thickBot="1" x14ac:dyDescent="0.3">
      <c r="A80" s="214">
        <v>4</v>
      </c>
      <c r="B80" s="248" t="s">
        <v>18</v>
      </c>
      <c r="C80" s="249" t="s">
        <v>496</v>
      </c>
      <c r="D80" s="249" t="s">
        <v>496</v>
      </c>
      <c r="E80" s="249" t="s">
        <v>496</v>
      </c>
      <c r="F80" s="249" t="s">
        <v>496</v>
      </c>
    </row>
    <row r="81" spans="1:6" s="173" customFormat="1" ht="13.8" thickBot="1" x14ac:dyDescent="0.3">
      <c r="A81" s="214">
        <v>6</v>
      </c>
      <c r="B81" s="248" t="s">
        <v>19</v>
      </c>
      <c r="C81" s="250" t="s">
        <v>97</v>
      </c>
      <c r="D81" s="250" t="s">
        <v>97</v>
      </c>
      <c r="E81" s="250" t="s">
        <v>97</v>
      </c>
      <c r="F81" s="250" t="s">
        <v>97</v>
      </c>
    </row>
    <row r="82" spans="1:6" s="173" customFormat="1" ht="13.8" thickBot="1" x14ac:dyDescent="0.3">
      <c r="A82" s="214">
        <v>7</v>
      </c>
      <c r="B82" s="248" t="s">
        <v>20</v>
      </c>
      <c r="C82" s="250" t="s">
        <v>497</v>
      </c>
      <c r="D82" s="250" t="s">
        <v>497</v>
      </c>
      <c r="E82" s="250" t="s">
        <v>497</v>
      </c>
      <c r="F82" s="250" t="s">
        <v>497</v>
      </c>
    </row>
    <row r="83" spans="1:6" s="173" customFormat="1" ht="13.8" thickBot="1" x14ac:dyDescent="0.3">
      <c r="A83" s="214">
        <v>8</v>
      </c>
      <c r="B83" s="248" t="s">
        <v>351</v>
      </c>
      <c r="C83" s="250" t="s">
        <v>97</v>
      </c>
      <c r="D83" s="250" t="s">
        <v>97</v>
      </c>
      <c r="E83" s="250" t="s">
        <v>97</v>
      </c>
      <c r="F83" s="250" t="s">
        <v>97</v>
      </c>
    </row>
    <row r="84" spans="1:6" s="173" customFormat="1" ht="40.200000000000003" thickBot="1" x14ac:dyDescent="0.3">
      <c r="A84" s="214">
        <v>9</v>
      </c>
      <c r="B84" s="241" t="s">
        <v>353</v>
      </c>
      <c r="C84" s="250" t="s">
        <v>498</v>
      </c>
      <c r="D84" s="250" t="s">
        <v>498</v>
      </c>
      <c r="E84" s="250" t="s">
        <v>498</v>
      </c>
      <c r="F84" s="250" t="s">
        <v>498</v>
      </c>
    </row>
    <row r="85" spans="1:6" s="173" customFormat="1" ht="13.8" thickBot="1" x14ac:dyDescent="0.3">
      <c r="A85" s="214">
        <v>10</v>
      </c>
      <c r="B85" s="248" t="s">
        <v>355</v>
      </c>
      <c r="C85" s="251">
        <v>0.84</v>
      </c>
      <c r="D85" s="251">
        <v>1</v>
      </c>
      <c r="E85" s="251">
        <v>1</v>
      </c>
      <c r="F85" s="251">
        <v>0.85</v>
      </c>
    </row>
  </sheetData>
  <mergeCells count="11">
    <mergeCell ref="A17:A18"/>
    <mergeCell ref="B17:B18"/>
    <mergeCell ref="C17:C18"/>
    <mergeCell ref="D17:D18"/>
    <mergeCell ref="E17:E18"/>
    <mergeCell ref="K17:K18"/>
    <mergeCell ref="F17:F18"/>
    <mergeCell ref="G17:G18"/>
    <mergeCell ref="H17:H18"/>
    <mergeCell ref="I17:I18"/>
    <mergeCell ref="J17:J18"/>
  </mergeCells>
  <phoneticPr fontId="3" type="noConversion"/>
  <conditionalFormatting sqref="C28:J28">
    <cfRule type="containsText" dxfId="229" priority="251" stopIfTrue="1" operator="containsText" text="Partial">
      <formula>NOT(ISERROR(SEARCH("Partial",C28)))</formula>
    </cfRule>
    <cfRule type="containsText" dxfId="228" priority="252" stopIfTrue="1" operator="containsText" text="Total">
      <formula>NOT(ISERROR(SEARCH("Total",C28)))</formula>
    </cfRule>
    <cfRule type="cellIs" dxfId="227" priority="253" stopIfTrue="1" operator="notEqual">
      <formula>"2.5.5.7"</formula>
    </cfRule>
  </conditionalFormatting>
  <conditionalFormatting sqref="C28:J29">
    <cfRule type="containsText" dxfId="226" priority="244" stopIfTrue="1" operator="containsText" text="Other">
      <formula>NOT(ISERROR(SEARCH("Other",C28)))</formula>
    </cfRule>
    <cfRule type="containsText" dxfId="225" priority="247" stopIfTrue="1" operator="containsText" text="Total">
      <formula>NOT(ISERROR(SEARCH("Total",C28)))</formula>
    </cfRule>
  </conditionalFormatting>
  <conditionalFormatting sqref="C29:J29">
    <cfRule type="containsText" dxfId="224" priority="245" stopIfTrue="1" operator="containsText" text="Total">
      <formula>NOT(ISERROR(SEARCH("Total",C29)))</formula>
    </cfRule>
    <cfRule type="containsText" dxfId="223" priority="246" stopIfTrue="1" operator="containsText" text="Partial">
      <formula>NOT(ISERROR(SEARCH("Partial",C29)))</formula>
    </cfRule>
    <cfRule type="cellIs" dxfId="222" priority="248" stopIfTrue="1" operator="notEqual">
      <formula>"2.5.5.7"</formula>
    </cfRule>
  </conditionalFormatting>
  <conditionalFormatting sqref="C31:J31">
    <cfRule type="containsText" dxfId="221" priority="404" stopIfTrue="1" operator="containsText" text="Other">
      <formula>NOT(ISERROR(SEARCH("Other",C31)))</formula>
    </cfRule>
    <cfRule type="containsText" dxfId="220" priority="405" stopIfTrue="1" operator="containsText" text="Total">
      <formula>NOT(ISERROR(SEARCH("Total",C31)))</formula>
    </cfRule>
  </conditionalFormatting>
  <conditionalFormatting sqref="C55:L55">
    <cfRule type="containsText" dxfId="219" priority="471" stopIfTrue="1" operator="containsText" text="Other">
      <formula>NOT(ISERROR(SEARCH("Other",C55)))</formula>
    </cfRule>
    <cfRule type="containsText" dxfId="218" priority="472" stopIfTrue="1" operator="containsText" text="Total">
      <formula>NOT(ISERROR(SEARCH("Total",C55)))</formula>
    </cfRule>
  </conditionalFormatting>
  <conditionalFormatting sqref="C3:N4">
    <cfRule type="cellIs" dxfId="217" priority="197" stopIfTrue="1" operator="notEqual">
      <formula>"2.5.5.7"</formula>
    </cfRule>
  </conditionalFormatting>
  <conditionalFormatting sqref="C3:N7">
    <cfRule type="containsText" dxfId="216" priority="199" stopIfTrue="1" operator="containsText" text="Other">
      <formula>NOT(ISERROR(SEARCH("Other",C3)))</formula>
    </cfRule>
    <cfRule type="containsText" dxfId="215" priority="200" stopIfTrue="1" operator="containsText" text="Total">
      <formula>NOT(ISERROR(SEARCH("Total",C3)))</formula>
    </cfRule>
  </conditionalFormatting>
  <conditionalFormatting sqref="C52:P53">
    <cfRule type="cellIs" dxfId="214" priority="196" stopIfTrue="1" operator="notEqual">
      <formula>"2.5.5.7"</formula>
    </cfRule>
  </conditionalFormatting>
  <conditionalFormatting sqref="C54:P54">
    <cfRule type="containsText" dxfId="213" priority="416" stopIfTrue="1" operator="containsText" text="Other">
      <formula>NOT(ISERROR(SEARCH("Other",C54)))</formula>
    </cfRule>
    <cfRule type="containsText" dxfId="212" priority="417" stopIfTrue="1" operator="containsText" text="Total">
      <formula>NOT(ISERROR(SEARCH("Total",C54)))</formula>
    </cfRule>
  </conditionalFormatting>
  <conditionalFormatting sqref="G1">
    <cfRule type="containsText" dxfId="211" priority="380" stopIfTrue="1" operator="containsText" text="None">
      <formula>NOT(ISERROR(SEARCH("None",G1)))</formula>
    </cfRule>
    <cfRule type="containsText" dxfId="210" priority="381" stopIfTrue="1" operator="containsText" text="Exchange in use">
      <formula>NOT(ISERROR(SEARCH("Exchange in use",G1)))</formula>
    </cfRule>
    <cfRule type="containsText" dxfId="209" priority="382" stopIfTrue="1" operator="containsText" text="Exchange in Use-Issues">
      <formula>NOT(ISERROR(SEARCH("Exchange in Use-Issues",G1)))</formula>
    </cfRule>
    <cfRule type="containsText" dxfId="208" priority="383" stopIfTrue="1" operator="containsText" text="Domino in use-issues">
      <formula>NOT(ISERROR(SEARCH("Domino in use-issues",G1)))</formula>
    </cfRule>
  </conditionalFormatting>
  <conditionalFormatting sqref="M55:P55">
    <cfRule type="cellIs" dxfId="207" priority="273" stopIfTrue="1" operator="notEqual">
      <formula>"2.5.5.7"</formula>
    </cfRule>
  </conditionalFormatting>
  <conditionalFormatting sqref="C8:N10">
    <cfRule type="containsText" dxfId="206" priority="108" stopIfTrue="1" operator="containsText" text="Other">
      <formula>NOT(ISERROR(SEARCH("Other",C8)))</formula>
    </cfRule>
    <cfRule type="containsText" dxfId="205" priority="109" stopIfTrue="1" operator="containsText" text="Total">
      <formula>NOT(ISERROR(SEARCH("Total",C8)))</formula>
    </cfRule>
  </conditionalFormatting>
  <conditionalFormatting sqref="C22:K23">
    <cfRule type="containsText" dxfId="204" priority="106" stopIfTrue="1" operator="containsText" text="Other">
      <formula>NOT(ISERROR(SEARCH("Other",C22)))</formula>
    </cfRule>
    <cfRule type="containsText" dxfId="203" priority="107" stopIfTrue="1" operator="containsText" text="Total">
      <formula>NOT(ISERROR(SEARCH("Total",C22)))</formula>
    </cfRule>
  </conditionalFormatting>
  <conditionalFormatting sqref="K30">
    <cfRule type="containsText" dxfId="202" priority="92" stopIfTrue="1" operator="containsText" text="Other">
      <formula>NOT(ISERROR(SEARCH("Other",K30)))</formula>
    </cfRule>
    <cfRule type="containsText" dxfId="201" priority="93" stopIfTrue="1" operator="containsText" text="Total">
      <formula>NOT(ISERROR(SEARCH("Total",K30)))</formula>
    </cfRule>
  </conditionalFormatting>
  <conditionalFormatting sqref="C30:J30">
    <cfRule type="containsText" dxfId="200" priority="104" stopIfTrue="1" operator="containsText" text="Other">
      <formula>NOT(ISERROR(SEARCH("Other",C30)))</formula>
    </cfRule>
    <cfRule type="containsText" dxfId="199" priority="105" stopIfTrue="1" operator="containsText" text="Total">
      <formula>NOT(ISERROR(SEARCH("Total",C30)))</formula>
    </cfRule>
  </conditionalFormatting>
  <conditionalFormatting sqref="K28">
    <cfRule type="containsText" dxfId="198" priority="99" stopIfTrue="1" operator="containsText" text="Partial">
      <formula>NOT(ISERROR(SEARCH("Partial",K28)))</formula>
    </cfRule>
    <cfRule type="containsText" dxfId="197" priority="100" stopIfTrue="1" operator="containsText" text="Total">
      <formula>NOT(ISERROR(SEARCH("Total",K28)))</formula>
    </cfRule>
    <cfRule type="cellIs" dxfId="196" priority="101" stopIfTrue="1" operator="notEqual">
      <formula>"2.5.5.7"</formula>
    </cfRule>
  </conditionalFormatting>
  <conditionalFormatting sqref="K28:K29">
    <cfRule type="containsText" dxfId="195" priority="94" stopIfTrue="1" operator="containsText" text="Other">
      <formula>NOT(ISERROR(SEARCH("Other",K28)))</formula>
    </cfRule>
    <cfRule type="containsText" dxfId="194" priority="97" stopIfTrue="1" operator="containsText" text="Total">
      <formula>NOT(ISERROR(SEARCH("Total",K28)))</formula>
    </cfRule>
  </conditionalFormatting>
  <conditionalFormatting sqref="K29">
    <cfRule type="containsText" dxfId="193" priority="95" stopIfTrue="1" operator="containsText" text="Total">
      <formula>NOT(ISERROR(SEARCH("Total",K29)))</formula>
    </cfRule>
    <cfRule type="containsText" dxfId="192" priority="96" stopIfTrue="1" operator="containsText" text="Partial">
      <formula>NOT(ISERROR(SEARCH("Partial",K29)))</formula>
    </cfRule>
    <cfRule type="cellIs" dxfId="191" priority="98" stopIfTrue="1" operator="notEqual">
      <formula>"2.5.5.7"</formula>
    </cfRule>
  </conditionalFormatting>
  <conditionalFormatting sqref="K31">
    <cfRule type="containsText" dxfId="190" priority="102" stopIfTrue="1" operator="containsText" text="Other">
      <formula>NOT(ISERROR(SEARCH("Other",K31)))</formula>
    </cfRule>
    <cfRule type="containsText" dxfId="189" priority="103" stopIfTrue="1" operator="containsText" text="Total">
      <formula>NOT(ISERROR(SEARCH("Total",K31)))</formula>
    </cfRule>
  </conditionalFormatting>
  <conditionalFormatting sqref="D65:D66">
    <cfRule type="cellIs" dxfId="188" priority="43" stopIfTrue="1" operator="notEqual">
      <formula>"2.5.5.7"</formula>
    </cfRule>
  </conditionalFormatting>
  <conditionalFormatting sqref="F65:F66">
    <cfRule type="cellIs" dxfId="187" priority="42" stopIfTrue="1" operator="notEqual">
      <formula>"2.5.5.7"</formula>
    </cfRule>
  </conditionalFormatting>
  <conditionalFormatting sqref="F68">
    <cfRule type="cellIs" dxfId="186" priority="41" stopIfTrue="1" operator="notEqual">
      <formula>"2.5.5.7"</formula>
    </cfRule>
  </conditionalFormatting>
  <conditionalFormatting sqref="H68">
    <cfRule type="cellIs" dxfId="185" priority="48" stopIfTrue="1" operator="notEqual">
      <formula>"2.5.5.7"</formula>
    </cfRule>
  </conditionalFormatting>
  <conditionalFormatting sqref="P65">
    <cfRule type="cellIs" dxfId="184" priority="34" stopIfTrue="1" operator="notEqual">
      <formula>"2.5.5.7"</formula>
    </cfRule>
    <cfRule type="containsText" dxfId="183" priority="35" stopIfTrue="1" operator="containsText" text="Partial">
      <formula>NOT(ISERROR(SEARCH("Partial",P65)))</formula>
    </cfRule>
    <cfRule type="containsText" dxfId="182" priority="36" stopIfTrue="1" operator="containsText" text="Total">
      <formula>NOT(ISERROR(SEARCH("Total",P65)))</formula>
    </cfRule>
  </conditionalFormatting>
  <conditionalFormatting sqref="I66">
    <cfRule type="containsText" dxfId="181" priority="44" stopIfTrue="1" operator="containsText" text="Other">
      <formula>NOT(ISERROR(SEARCH("Other",I66)))</formula>
    </cfRule>
    <cfRule type="containsText" dxfId="180" priority="45" stopIfTrue="1" operator="containsText" text="Total">
      <formula>NOT(ISERROR(SEARCH("Total",I66)))</formula>
    </cfRule>
    <cfRule type="containsText" dxfId="179" priority="46" stopIfTrue="1" operator="containsText" text="Partial">
      <formula>NOT(ISERROR(SEARCH("Partial",I66)))</formula>
    </cfRule>
    <cfRule type="containsText" dxfId="178" priority="47" stopIfTrue="1" operator="containsText" text="Total">
      <formula>NOT(ISERROR(SEARCH("Total",I66)))</formula>
    </cfRule>
  </conditionalFormatting>
  <conditionalFormatting sqref="P66">
    <cfRule type="containsText" dxfId="177" priority="30" stopIfTrue="1" operator="containsText" text="Other">
      <formula>NOT(ISERROR(SEARCH("Other",P66)))</formula>
    </cfRule>
    <cfRule type="containsText" dxfId="176" priority="31" stopIfTrue="1" operator="containsText" text="Total">
      <formula>NOT(ISERROR(SEARCH("Total",P66)))</formula>
    </cfRule>
    <cfRule type="containsText" dxfId="175" priority="32" stopIfTrue="1" operator="containsText" text="Partial">
      <formula>NOT(ISERROR(SEARCH("Partial",P66)))</formula>
    </cfRule>
    <cfRule type="containsText" dxfId="174" priority="33" stopIfTrue="1" operator="containsText" text="Total">
      <formula>NOT(ISERROR(SEARCH("Total",P66)))</formula>
    </cfRule>
  </conditionalFormatting>
  <conditionalFormatting sqref="J68">
    <cfRule type="cellIs" dxfId="173" priority="28" stopIfTrue="1" operator="notEqual">
      <formula>"2.5.5.7"</formula>
    </cfRule>
  </conditionalFormatting>
  <conditionalFormatting sqref="K68">
    <cfRule type="cellIs" dxfId="172" priority="24" stopIfTrue="1" operator="notEqual">
      <formula>"2.5.5.7"</formula>
    </cfRule>
  </conditionalFormatting>
  <conditionalFormatting sqref="L68">
    <cfRule type="cellIs" dxfId="171" priority="23" stopIfTrue="1" operator="notEqual">
      <formula>"2.5.5.7"</formula>
    </cfRule>
  </conditionalFormatting>
  <conditionalFormatting sqref="C65:C66">
    <cfRule type="cellIs" dxfId="170" priority="22" stopIfTrue="1" operator="notEqual">
      <formula>"2.5.5.7"</formula>
    </cfRule>
  </conditionalFormatting>
  <conditionalFormatting sqref="H65:H66">
    <cfRule type="cellIs" dxfId="169" priority="49" stopIfTrue="1" operator="notEqual">
      <formula>"2.5.5.7"</formula>
    </cfRule>
  </conditionalFormatting>
  <conditionalFormatting sqref="J65:J66">
    <cfRule type="cellIs" dxfId="168" priority="29" stopIfTrue="1" operator="notEqual">
      <formula>"2.5.5.7"</formula>
    </cfRule>
  </conditionalFormatting>
  <conditionalFormatting sqref="K65:K66">
    <cfRule type="cellIs" dxfId="167" priority="26" stopIfTrue="1" operator="notEqual">
      <formula>"2.5.5.7"</formula>
    </cfRule>
  </conditionalFormatting>
  <conditionalFormatting sqref="L65:L66">
    <cfRule type="cellIs" dxfId="166" priority="25" stopIfTrue="1" operator="notEqual">
      <formula>"2.5.5.7"</formula>
    </cfRule>
  </conditionalFormatting>
  <conditionalFormatting sqref="M65:M66">
    <cfRule type="cellIs" dxfId="165" priority="27" stopIfTrue="1" operator="notEqual">
      <formula>"2.5.5.7"</formula>
    </cfRule>
  </conditionalFormatting>
  <conditionalFormatting sqref="E65 G65 N65:O65">
    <cfRule type="cellIs" dxfId="164" priority="54" stopIfTrue="1" operator="notEqual">
      <formula>"2.5.5.7"</formula>
    </cfRule>
    <cfRule type="containsText" dxfId="163" priority="55" stopIfTrue="1" operator="containsText" text="Partial">
      <formula>NOT(ISERROR(SEARCH("Partial",E65)))</formula>
    </cfRule>
    <cfRule type="containsText" dxfId="162" priority="56" stopIfTrue="1" operator="containsText" text="Total">
      <formula>NOT(ISERROR(SEARCH("Total",E65)))</formula>
    </cfRule>
  </conditionalFormatting>
  <conditionalFormatting sqref="E66 G66 N66:O66">
    <cfRule type="containsText" dxfId="161" priority="50" stopIfTrue="1" operator="containsText" text="Other">
      <formula>NOT(ISERROR(SEARCH("Other",E66)))</formula>
    </cfRule>
    <cfRule type="containsText" dxfId="160" priority="51" stopIfTrue="1" operator="containsText" text="Total">
      <formula>NOT(ISERROR(SEARCH("Total",E66)))</formula>
    </cfRule>
    <cfRule type="containsText" dxfId="159" priority="52" stopIfTrue="1" operator="containsText" text="Partial">
      <formula>NOT(ISERROR(SEARCH("Partial",E66)))</formula>
    </cfRule>
    <cfRule type="containsText" dxfId="158" priority="53" stopIfTrue="1" operator="containsText" text="Total">
      <formula>NOT(ISERROR(SEARCH("Total",E66)))</formula>
    </cfRule>
  </conditionalFormatting>
  <conditionalFormatting sqref="C79">
    <cfRule type="containsText" dxfId="157" priority="20" stopIfTrue="1" operator="containsText" text="Other">
      <formula>NOT(ISERROR(SEARCH("Other",C79)))</formula>
    </cfRule>
    <cfRule type="containsText" dxfId="156" priority="21" stopIfTrue="1" operator="containsText" text="Total">
      <formula>NOT(ISERROR(SEARCH("Total",C79)))</formula>
    </cfRule>
  </conditionalFormatting>
  <conditionalFormatting sqref="D77:D78">
    <cfRule type="cellIs" dxfId="155" priority="15" stopIfTrue="1" operator="notEqual">
      <formula>"2.5.5.7"</formula>
    </cfRule>
  </conditionalFormatting>
  <conditionalFormatting sqref="C77:F78">
    <cfRule type="cellIs" dxfId="154" priority="19" stopIfTrue="1" operator="notEqual">
      <formula>"2.5.5.7"</formula>
    </cfRule>
  </conditionalFormatting>
  <conditionalFormatting sqref="F77:F78">
    <cfRule type="cellIs" dxfId="153" priority="11" stopIfTrue="1" operator="notEqual">
      <formula>"2.5.5.7"</formula>
    </cfRule>
  </conditionalFormatting>
  <conditionalFormatting sqref="E77:E78">
    <cfRule type="cellIs" dxfId="152" priority="7" stopIfTrue="1" operator="notEqual">
      <formula>"2.5.5.7"</formula>
    </cfRule>
  </conditionalFormatting>
  <conditionalFormatting sqref="C80:F80">
    <cfRule type="cellIs" dxfId="151" priority="3" stopIfTrue="1" operator="notEqual">
      <formula>"2.5.5.7"</formula>
    </cfRule>
  </conditionalFormatting>
  <conditionalFormatting sqref="C81:F84">
    <cfRule type="containsText" dxfId="150" priority="4" stopIfTrue="1" operator="containsText" text="Other">
      <formula>NOT(ISERROR(SEARCH("Other",C81)))</formula>
    </cfRule>
    <cfRule type="containsText" dxfId="149" priority="5" stopIfTrue="1" operator="containsText" text="Total">
      <formula>NOT(ISERROR(SEARCH("Total",C81)))</formula>
    </cfRule>
  </conditionalFormatting>
  <conditionalFormatting sqref="D79:F79">
    <cfRule type="containsText" dxfId="148" priority="1" stopIfTrue="1" operator="containsText" text="Other">
      <formula>NOT(ISERROR(SEARCH("Other",D79)))</formula>
    </cfRule>
    <cfRule type="containsText" dxfId="147" priority="2" stopIfTrue="1" operator="containsText" text="Total">
      <formula>NOT(ISERROR(SEARCH("Total",D79)))</formula>
    </cfRule>
  </conditionalFormatting>
  <dataValidations count="7">
    <dataValidation type="list" allowBlank="1" showInputMessage="1" showErrorMessage="1" sqref="M55:P55 C29:J29 M53:P53 C78:F78 C80:F80">
      <formula1>Factory</formula1>
    </dataValidation>
    <dataValidation type="list" allowBlank="1" showInputMessage="1" showErrorMessage="1" sqref="C5:N5 C54:P54 C79:F79">
      <formula1>Farmers</formula1>
    </dataValidation>
    <dataValidation type="list" allowBlank="1" showInputMessage="1" showErrorMessage="1" sqref="C32:I32 C6:N7 C56:P56 C3:N4 C81:F81">
      <formula1>Replicator</formula1>
    </dataValidation>
    <dataValidation type="list" allowBlank="1" showInputMessage="1" showErrorMessage="1" sqref="C33:I33 C57:P57 C8:N8 J37 C82:F82">
      <formula1>ChaiData</formula1>
    </dataValidation>
    <dataValidation type="list" allowBlank="1" showInputMessage="1" showErrorMessage="1" sqref="O58:P58 Q51:T51 C58:N59 C9:N9 C22:K22 C36 J36:K36 J38 C73 J73:M73 C83:F83">
      <formula1>ChaiPOS</formula1>
    </dataValidation>
    <dataValidation type="list" allowBlank="1" showInputMessage="1" showErrorMessage="1" sqref="C31:J31 C55:L55">
      <formula1>Fleet</formula1>
    </dataValidation>
    <dataValidation type="list" allowBlank="1" showInputMessage="1" showErrorMessage="1" sqref="C52:P52 C28:J28 C53:L53 C77:F77">
      <formula1>finance</formula1>
    </dataValidation>
  </dataValidations>
  <pageMargins left="0.75" right="0.75" top="1" bottom="1" header="0.5" footer="0.5"/>
  <pageSetup orientation="portrait" horizontalDpi="4294967295" verticalDpi="4294967295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R142"/>
  <sheetViews>
    <sheetView topLeftCell="D1" workbookViewId="0">
      <selection activeCell="J1" sqref="J1"/>
    </sheetView>
  </sheetViews>
  <sheetFormatPr defaultColWidth="55" defaultRowHeight="13.2" x14ac:dyDescent="0.25"/>
  <cols>
    <col min="1" max="1" width="4.109375" style="47" bestFit="1" customWidth="1"/>
    <col min="2" max="2" width="50" style="47" customWidth="1"/>
    <col min="3" max="14" width="29.5546875" style="47" customWidth="1"/>
    <col min="15" max="16" width="32.33203125" style="47" bestFit="1" customWidth="1"/>
    <col min="17" max="17" width="52.33203125" style="47" bestFit="1" customWidth="1"/>
    <col min="18" max="18" width="15" style="47" bestFit="1" customWidth="1"/>
    <col min="19" max="16384" width="55" style="47"/>
  </cols>
  <sheetData>
    <row r="1" spans="1:14" s="173" customFormat="1" ht="13.8" thickBot="1" x14ac:dyDescent="0.3">
      <c r="B1" s="174" t="s">
        <v>43</v>
      </c>
      <c r="J1" s="493">
        <f>'Infrastructure and Systems'!M2</f>
        <v>45930</v>
      </c>
    </row>
    <row r="2" spans="1:14" s="173" customFormat="1" ht="13.8" thickBot="1" x14ac:dyDescent="0.3">
      <c r="A2" s="176" t="s">
        <v>0</v>
      </c>
      <c r="B2" s="177" t="s">
        <v>175</v>
      </c>
      <c r="C2" s="178" t="s">
        <v>54</v>
      </c>
      <c r="D2" s="179" t="s">
        <v>55</v>
      </c>
      <c r="E2" s="180" t="s">
        <v>56</v>
      </c>
      <c r="F2" s="180" t="s">
        <v>121</v>
      </c>
      <c r="G2" s="180" t="s">
        <v>57</v>
      </c>
      <c r="H2" s="180" t="s">
        <v>58</v>
      </c>
      <c r="I2" s="180" t="s">
        <v>59</v>
      </c>
      <c r="J2" s="180" t="s">
        <v>60</v>
      </c>
      <c r="K2" s="181" t="s">
        <v>61</v>
      </c>
      <c r="L2" s="181" t="s">
        <v>62</v>
      </c>
      <c r="M2" s="181" t="s">
        <v>63</v>
      </c>
      <c r="N2" s="182" t="s">
        <v>64</v>
      </c>
    </row>
    <row r="3" spans="1:14" s="173" customFormat="1" ht="46.5" customHeight="1" thickBot="1" x14ac:dyDescent="0.3">
      <c r="A3" s="183">
        <v>1</v>
      </c>
      <c r="B3" s="190" t="s">
        <v>357</v>
      </c>
      <c r="C3" s="185" t="s">
        <v>358</v>
      </c>
      <c r="D3" s="186" t="s">
        <v>358</v>
      </c>
      <c r="E3" s="186" t="s">
        <v>358</v>
      </c>
      <c r="F3" s="186" t="s">
        <v>358</v>
      </c>
      <c r="G3" s="186" t="s">
        <v>358</v>
      </c>
      <c r="H3" s="186" t="s">
        <v>358</v>
      </c>
      <c r="I3" s="186" t="s">
        <v>358</v>
      </c>
      <c r="J3" s="186" t="s">
        <v>358</v>
      </c>
      <c r="K3" s="186" t="s">
        <v>358</v>
      </c>
      <c r="L3" s="186" t="s">
        <v>358</v>
      </c>
      <c r="M3" s="186" t="s">
        <v>358</v>
      </c>
      <c r="N3" s="187" t="s">
        <v>358</v>
      </c>
    </row>
    <row r="4" spans="1:14" s="173" customFormat="1" ht="27" thickBot="1" x14ac:dyDescent="0.3">
      <c r="A4" s="188">
        <v>2</v>
      </c>
      <c r="B4" s="190" t="s">
        <v>359</v>
      </c>
      <c r="C4" s="184" t="s">
        <v>360</v>
      </c>
      <c r="D4" s="189" t="s">
        <v>361</v>
      </c>
      <c r="E4" s="189" t="s">
        <v>362</v>
      </c>
      <c r="F4" s="189" t="s">
        <v>361</v>
      </c>
      <c r="G4" s="189" t="s">
        <v>363</v>
      </c>
      <c r="H4" s="189" t="s">
        <v>364</v>
      </c>
      <c r="I4" s="189" t="s">
        <v>365</v>
      </c>
      <c r="J4" s="189" t="s">
        <v>366</v>
      </c>
      <c r="K4" s="189" t="s">
        <v>367</v>
      </c>
      <c r="L4" s="189" t="s">
        <v>368</v>
      </c>
      <c r="M4" s="189" t="s">
        <v>369</v>
      </c>
      <c r="N4" s="189" t="s">
        <v>370</v>
      </c>
    </row>
    <row r="5" spans="1:14" s="173" customFormat="1" ht="13.8" thickBot="1" x14ac:dyDescent="0.3">
      <c r="A5" s="188">
        <v>3</v>
      </c>
      <c r="B5" s="190" t="s">
        <v>371</v>
      </c>
      <c r="C5" s="193" t="s">
        <v>358</v>
      </c>
      <c r="D5" s="193" t="s">
        <v>358</v>
      </c>
      <c r="E5" s="193" t="s">
        <v>358</v>
      </c>
      <c r="F5" s="193" t="s">
        <v>358</v>
      </c>
      <c r="G5" s="193" t="s">
        <v>358</v>
      </c>
      <c r="H5" s="193" t="s">
        <v>358</v>
      </c>
      <c r="I5" s="193" t="s">
        <v>358</v>
      </c>
      <c r="J5" s="193" t="s">
        <v>358</v>
      </c>
      <c r="K5" s="193" t="s">
        <v>358</v>
      </c>
      <c r="L5" s="193" t="s">
        <v>358</v>
      </c>
      <c r="M5" s="193" t="s">
        <v>358</v>
      </c>
      <c r="N5" s="193" t="s">
        <v>358</v>
      </c>
    </row>
    <row r="6" spans="1:14" s="173" customFormat="1" ht="13.8" thickBot="1" x14ac:dyDescent="0.3">
      <c r="A6" s="191"/>
      <c r="B6" s="192" t="s">
        <v>372</v>
      </c>
      <c r="C6" s="193" t="s">
        <v>358</v>
      </c>
      <c r="D6" s="193" t="s">
        <v>358</v>
      </c>
      <c r="E6" s="193" t="s">
        <v>358</v>
      </c>
      <c r="F6" s="193" t="s">
        <v>358</v>
      </c>
      <c r="G6" s="193" t="s">
        <v>358</v>
      </c>
      <c r="H6" s="193" t="s">
        <v>358</v>
      </c>
      <c r="I6" s="193" t="s">
        <v>358</v>
      </c>
      <c r="J6" s="193" t="s">
        <v>358</v>
      </c>
      <c r="K6" s="193" t="s">
        <v>358</v>
      </c>
      <c r="L6" s="193" t="s">
        <v>358</v>
      </c>
      <c r="M6" s="193" t="s">
        <v>358</v>
      </c>
      <c r="N6" s="193" t="s">
        <v>358</v>
      </c>
    </row>
    <row r="7" spans="1:14" s="173" customFormat="1" ht="13.8" thickBot="1" x14ac:dyDescent="0.3">
      <c r="A7" s="191"/>
      <c r="B7" s="192" t="s">
        <v>373</v>
      </c>
      <c r="C7" s="193" t="s">
        <v>358</v>
      </c>
      <c r="D7" s="193" t="s">
        <v>358</v>
      </c>
      <c r="E7" s="193" t="s">
        <v>358</v>
      </c>
      <c r="F7" s="193" t="s">
        <v>358</v>
      </c>
      <c r="G7" s="193" t="s">
        <v>358</v>
      </c>
      <c r="H7" s="193" t="s">
        <v>358</v>
      </c>
      <c r="I7" s="193" t="s">
        <v>358</v>
      </c>
      <c r="J7" s="193" t="s">
        <v>358</v>
      </c>
      <c r="K7" s="193" t="s">
        <v>358</v>
      </c>
      <c r="L7" s="193" t="s">
        <v>358</v>
      </c>
      <c r="M7" s="193" t="s">
        <v>358</v>
      </c>
      <c r="N7" s="193" t="s">
        <v>358</v>
      </c>
    </row>
    <row r="8" spans="1:14" s="173" customFormat="1" ht="13.8" thickBot="1" x14ac:dyDescent="0.3">
      <c r="A8" s="191"/>
      <c r="B8" s="192" t="s">
        <v>374</v>
      </c>
      <c r="C8" s="193" t="s">
        <v>358</v>
      </c>
      <c r="D8" s="193" t="s">
        <v>358</v>
      </c>
      <c r="E8" s="193" t="s">
        <v>358</v>
      </c>
      <c r="F8" s="193" t="s">
        <v>358</v>
      </c>
      <c r="G8" s="193" t="s">
        <v>358</v>
      </c>
      <c r="H8" s="193" t="s">
        <v>358</v>
      </c>
      <c r="I8" s="193" t="s">
        <v>358</v>
      </c>
      <c r="J8" s="193" t="s">
        <v>358</v>
      </c>
      <c r="K8" s="193" t="s">
        <v>358</v>
      </c>
      <c r="L8" s="193" t="s">
        <v>358</v>
      </c>
      <c r="M8" s="193" t="s">
        <v>358</v>
      </c>
      <c r="N8" s="193" t="s">
        <v>358</v>
      </c>
    </row>
    <row r="9" spans="1:14" s="173" customFormat="1" ht="13.8" thickBot="1" x14ac:dyDescent="0.3">
      <c r="A9" s="191"/>
      <c r="B9" s="192" t="s">
        <v>375</v>
      </c>
      <c r="C9" s="193" t="s">
        <v>358</v>
      </c>
      <c r="D9" s="193" t="s">
        <v>358</v>
      </c>
      <c r="E9" s="193" t="s">
        <v>358</v>
      </c>
      <c r="F9" s="193" t="s">
        <v>358</v>
      </c>
      <c r="G9" s="193" t="s">
        <v>358</v>
      </c>
      <c r="H9" s="193" t="s">
        <v>358</v>
      </c>
      <c r="I9" s="193" t="s">
        <v>358</v>
      </c>
      <c r="J9" s="193" t="s">
        <v>358</v>
      </c>
      <c r="K9" s="193" t="s">
        <v>358</v>
      </c>
      <c r="L9" s="193" t="s">
        <v>358</v>
      </c>
      <c r="M9" s="193" t="s">
        <v>358</v>
      </c>
      <c r="N9" s="193" t="s">
        <v>358</v>
      </c>
    </row>
    <row r="10" spans="1:14" s="173" customFormat="1" ht="13.8" thickBot="1" x14ac:dyDescent="0.3">
      <c r="A10" s="191"/>
      <c r="B10" s="192" t="s">
        <v>376</v>
      </c>
      <c r="C10" s="193" t="s">
        <v>358</v>
      </c>
      <c r="D10" s="193" t="s">
        <v>358</v>
      </c>
      <c r="E10" s="193" t="s">
        <v>358</v>
      </c>
      <c r="F10" s="193" t="s">
        <v>358</v>
      </c>
      <c r="G10" s="193" t="s">
        <v>358</v>
      </c>
      <c r="H10" s="193" t="s">
        <v>358</v>
      </c>
      <c r="I10" s="193" t="s">
        <v>358</v>
      </c>
      <c r="J10" s="193" t="s">
        <v>358</v>
      </c>
      <c r="K10" s="193" t="s">
        <v>358</v>
      </c>
      <c r="L10" s="193" t="s">
        <v>358</v>
      </c>
      <c r="M10" s="193" t="s">
        <v>358</v>
      </c>
      <c r="N10" s="193" t="s">
        <v>358</v>
      </c>
    </row>
    <row r="11" spans="1:14" s="173" customFormat="1" ht="13.8" thickBot="1" x14ac:dyDescent="0.3">
      <c r="A11" s="191"/>
      <c r="B11" s="192" t="s">
        <v>377</v>
      </c>
      <c r="C11" s="193" t="s">
        <v>358</v>
      </c>
      <c r="D11" s="193" t="s">
        <v>358</v>
      </c>
      <c r="E11" s="193" t="s">
        <v>358</v>
      </c>
      <c r="F11" s="193" t="s">
        <v>358</v>
      </c>
      <c r="G11" s="193" t="s">
        <v>358</v>
      </c>
      <c r="H11" s="193" t="s">
        <v>358</v>
      </c>
      <c r="I11" s="193" t="s">
        <v>358</v>
      </c>
      <c r="J11" s="193" t="s">
        <v>358</v>
      </c>
      <c r="K11" s="193" t="s">
        <v>358</v>
      </c>
      <c r="L11" s="193" t="s">
        <v>358</v>
      </c>
      <c r="M11" s="193" t="s">
        <v>358</v>
      </c>
      <c r="N11" s="193" t="s">
        <v>358</v>
      </c>
    </row>
    <row r="12" spans="1:14" s="173" customFormat="1" ht="13.8" thickBot="1" x14ac:dyDescent="0.3">
      <c r="A12" s="191"/>
      <c r="B12" s="192" t="s">
        <v>378</v>
      </c>
      <c r="C12" s="193" t="s">
        <v>358</v>
      </c>
      <c r="D12" s="193" t="s">
        <v>358</v>
      </c>
      <c r="E12" s="193" t="s">
        <v>358</v>
      </c>
      <c r="F12" s="193" t="s">
        <v>358</v>
      </c>
      <c r="G12" s="193" t="s">
        <v>358</v>
      </c>
      <c r="H12" s="193" t="s">
        <v>358</v>
      </c>
      <c r="I12" s="193" t="s">
        <v>358</v>
      </c>
      <c r="J12" s="193" t="s">
        <v>358</v>
      </c>
      <c r="K12" s="193" t="s">
        <v>358</v>
      </c>
      <c r="L12" s="193" t="s">
        <v>358</v>
      </c>
      <c r="M12" s="193" t="s">
        <v>358</v>
      </c>
      <c r="N12" s="193" t="s">
        <v>358</v>
      </c>
    </row>
    <row r="13" spans="1:14" s="173" customFormat="1" ht="13.8" thickBot="1" x14ac:dyDescent="0.3">
      <c r="A13" s="191"/>
      <c r="B13" s="192" t="s">
        <v>379</v>
      </c>
      <c r="C13" s="193" t="s">
        <v>358</v>
      </c>
      <c r="D13" s="193" t="s">
        <v>358</v>
      </c>
      <c r="E13" s="193" t="s">
        <v>358</v>
      </c>
      <c r="F13" s="193" t="s">
        <v>358</v>
      </c>
      <c r="G13" s="193" t="s">
        <v>358</v>
      </c>
      <c r="H13" s="193" t="s">
        <v>358</v>
      </c>
      <c r="I13" s="193" t="s">
        <v>358</v>
      </c>
      <c r="J13" s="193" t="s">
        <v>358</v>
      </c>
      <c r="K13" s="193" t="s">
        <v>358</v>
      </c>
      <c r="L13" s="193" t="s">
        <v>358</v>
      </c>
      <c r="M13" s="193" t="s">
        <v>358</v>
      </c>
      <c r="N13" s="193" t="s">
        <v>358</v>
      </c>
    </row>
    <row r="14" spans="1:14" s="173" customFormat="1" ht="13.8" thickBot="1" x14ac:dyDescent="0.3">
      <c r="A14" s="188">
        <v>4</v>
      </c>
      <c r="B14" s="190" t="s">
        <v>202</v>
      </c>
      <c r="C14" s="193" t="s">
        <v>246</v>
      </c>
      <c r="D14" s="193" t="s">
        <v>246</v>
      </c>
      <c r="E14" s="193" t="s">
        <v>247</v>
      </c>
      <c r="F14" s="193" t="s">
        <v>247</v>
      </c>
      <c r="G14" s="193" t="s">
        <v>246</v>
      </c>
      <c r="H14" s="193" t="s">
        <v>246</v>
      </c>
      <c r="I14" s="193" t="s">
        <v>246</v>
      </c>
      <c r="J14" s="193" t="s">
        <v>246</v>
      </c>
      <c r="K14" s="193" t="s">
        <v>246</v>
      </c>
      <c r="L14" s="193" t="s">
        <v>246</v>
      </c>
      <c r="M14" s="193" t="s">
        <v>246</v>
      </c>
      <c r="N14" s="193" t="s">
        <v>246</v>
      </c>
    </row>
    <row r="15" spans="1:14" s="173" customFormat="1" ht="13.8" thickBot="1" x14ac:dyDescent="0.3">
      <c r="A15" s="188">
        <v>5</v>
      </c>
      <c r="B15" s="190" t="s">
        <v>380</v>
      </c>
      <c r="C15" s="193" t="s">
        <v>358</v>
      </c>
      <c r="D15" s="193" t="s">
        <v>358</v>
      </c>
      <c r="E15" s="193" t="s">
        <v>358</v>
      </c>
      <c r="F15" s="193" t="s">
        <v>358</v>
      </c>
      <c r="G15" s="193" t="s">
        <v>358</v>
      </c>
      <c r="H15" s="193" t="s">
        <v>358</v>
      </c>
      <c r="I15" s="193" t="s">
        <v>358</v>
      </c>
      <c r="J15" s="193" t="s">
        <v>358</v>
      </c>
      <c r="K15" s="193" t="s">
        <v>358</v>
      </c>
      <c r="L15" s="193" t="s">
        <v>358</v>
      </c>
      <c r="M15" s="193" t="s">
        <v>358</v>
      </c>
      <c r="N15" s="193" t="s">
        <v>358</v>
      </c>
    </row>
    <row r="16" spans="1:14" s="173" customFormat="1" ht="13.8" thickBot="1" x14ac:dyDescent="0.3">
      <c r="A16" s="188">
        <v>6</v>
      </c>
      <c r="B16" s="190" t="s">
        <v>381</v>
      </c>
      <c r="C16" s="193"/>
      <c r="D16" s="193"/>
      <c r="E16" s="193"/>
      <c r="F16" s="193"/>
      <c r="G16" s="193"/>
      <c r="H16" s="193"/>
      <c r="I16" s="193"/>
      <c r="J16" s="193"/>
      <c r="K16" s="193"/>
      <c r="L16" s="193"/>
      <c r="M16" s="193"/>
      <c r="N16" s="193"/>
    </row>
    <row r="17" spans="1:14" s="173" customFormat="1" ht="13.8" thickBot="1" x14ac:dyDescent="0.3">
      <c r="A17" s="191"/>
      <c r="B17" s="192" t="s">
        <v>382</v>
      </c>
      <c r="C17" s="193">
        <v>10</v>
      </c>
      <c r="D17" s="193">
        <v>9</v>
      </c>
      <c r="E17" s="193">
        <v>7</v>
      </c>
      <c r="F17" s="193">
        <v>8</v>
      </c>
      <c r="G17" s="193">
        <v>8</v>
      </c>
      <c r="H17" s="193">
        <v>8</v>
      </c>
      <c r="I17" s="193"/>
      <c r="J17" s="193">
        <v>7</v>
      </c>
      <c r="K17" s="193">
        <v>14</v>
      </c>
      <c r="L17" s="193">
        <v>7</v>
      </c>
      <c r="M17" s="193">
        <v>10</v>
      </c>
      <c r="N17" s="193">
        <v>8</v>
      </c>
    </row>
    <row r="18" spans="1:14" s="173" customFormat="1" ht="13.8" thickBot="1" x14ac:dyDescent="0.3">
      <c r="A18" s="191"/>
      <c r="B18" s="192" t="s">
        <v>383</v>
      </c>
      <c r="C18" s="193">
        <v>10</v>
      </c>
      <c r="D18" s="193">
        <v>9</v>
      </c>
      <c r="E18" s="193">
        <v>7</v>
      </c>
      <c r="F18" s="193">
        <v>8</v>
      </c>
      <c r="G18" s="193">
        <v>8</v>
      </c>
      <c r="H18" s="193">
        <v>8</v>
      </c>
      <c r="I18" s="193"/>
      <c r="J18" s="193">
        <v>7</v>
      </c>
      <c r="K18" s="193">
        <v>14</v>
      </c>
      <c r="L18" s="193">
        <v>7</v>
      </c>
      <c r="M18" s="193">
        <v>10</v>
      </c>
      <c r="N18" s="193">
        <v>8</v>
      </c>
    </row>
    <row r="19" spans="1:14" s="173" customFormat="1" ht="13.8" thickBot="1" x14ac:dyDescent="0.3">
      <c r="A19" s="191"/>
      <c r="B19" s="192" t="s">
        <v>384</v>
      </c>
      <c r="C19" s="193">
        <v>10</v>
      </c>
      <c r="D19" s="193">
        <v>9</v>
      </c>
      <c r="E19" s="193">
        <v>7</v>
      </c>
      <c r="F19" s="193">
        <v>8</v>
      </c>
      <c r="G19" s="193">
        <v>8</v>
      </c>
      <c r="H19" s="193">
        <v>8</v>
      </c>
      <c r="I19" s="193"/>
      <c r="J19" s="193">
        <v>7</v>
      </c>
      <c r="K19" s="193">
        <v>14</v>
      </c>
      <c r="L19" s="193">
        <v>7</v>
      </c>
      <c r="M19" s="193">
        <v>10</v>
      </c>
      <c r="N19" s="193">
        <v>8</v>
      </c>
    </row>
    <row r="20" spans="1:14" s="173" customFormat="1" ht="13.8" thickBot="1" x14ac:dyDescent="0.3">
      <c r="A20" s="188">
        <v>7</v>
      </c>
      <c r="B20" s="190" t="s">
        <v>385</v>
      </c>
      <c r="C20" s="193" t="s">
        <v>386</v>
      </c>
      <c r="D20" s="193" t="s">
        <v>386</v>
      </c>
      <c r="E20" s="193" t="s">
        <v>386</v>
      </c>
      <c r="F20" s="193" t="s">
        <v>386</v>
      </c>
      <c r="G20" s="193" t="s">
        <v>386</v>
      </c>
      <c r="H20" s="193" t="s">
        <v>386</v>
      </c>
      <c r="I20" s="193" t="s">
        <v>386</v>
      </c>
      <c r="J20" s="193" t="s">
        <v>386</v>
      </c>
      <c r="K20" s="193" t="s">
        <v>386</v>
      </c>
      <c r="L20" s="193" t="s">
        <v>386</v>
      </c>
      <c r="M20" s="193" t="s">
        <v>386</v>
      </c>
      <c r="N20" s="193" t="s">
        <v>386</v>
      </c>
    </row>
    <row r="21" spans="1:14" ht="13.8" thickBot="1" x14ac:dyDescent="0.3"/>
    <row r="22" spans="1:14" s="173" customFormat="1" ht="13.8" thickBot="1" x14ac:dyDescent="0.3">
      <c r="B22" s="174" t="s">
        <v>44</v>
      </c>
      <c r="J22" s="175">
        <f>'Infrastructure and Systems'!M23</f>
        <v>0</v>
      </c>
    </row>
    <row r="23" spans="1:14" ht="13.8" thickBot="1" x14ac:dyDescent="0.3">
      <c r="A23" s="176" t="s">
        <v>0</v>
      </c>
      <c r="B23" s="177" t="s">
        <v>175</v>
      </c>
      <c r="C23" s="165" t="s">
        <v>68</v>
      </c>
      <c r="D23" s="165" t="s">
        <v>69</v>
      </c>
      <c r="E23" s="165" t="s">
        <v>70</v>
      </c>
      <c r="F23" s="165" t="s">
        <v>71</v>
      </c>
      <c r="G23" s="165" t="s">
        <v>72</v>
      </c>
      <c r="H23" s="165" t="s">
        <v>73</v>
      </c>
      <c r="I23" s="165" t="s">
        <v>74</v>
      </c>
      <c r="J23" s="165" t="s">
        <v>75</v>
      </c>
      <c r="K23" s="258" t="s">
        <v>76</v>
      </c>
    </row>
    <row r="24" spans="1:14" ht="25.8" thickBot="1" x14ac:dyDescent="0.3">
      <c r="A24" s="183">
        <v>1</v>
      </c>
      <c r="B24" s="190" t="s">
        <v>357</v>
      </c>
      <c r="C24" s="193" t="s">
        <v>507</v>
      </c>
      <c r="D24" s="193" t="s">
        <v>507</v>
      </c>
      <c r="E24" s="193" t="s">
        <v>507</v>
      </c>
      <c r="F24" s="193" t="s">
        <v>507</v>
      </c>
      <c r="G24" s="193" t="s">
        <v>507</v>
      </c>
      <c r="H24" s="193" t="s">
        <v>507</v>
      </c>
      <c r="I24" s="193" t="s">
        <v>507</v>
      </c>
      <c r="J24" s="193" t="s">
        <v>507</v>
      </c>
      <c r="K24" s="193" t="s">
        <v>507</v>
      </c>
    </row>
    <row r="25" spans="1:14" ht="13.8" thickBot="1" x14ac:dyDescent="0.3">
      <c r="A25" s="188">
        <v>2</v>
      </c>
      <c r="B25" s="190" t="s">
        <v>359</v>
      </c>
      <c r="C25" s="193" t="s">
        <v>507</v>
      </c>
      <c r="D25" s="193" t="s">
        <v>507</v>
      </c>
      <c r="E25" s="193" t="s">
        <v>507</v>
      </c>
      <c r="F25" s="193" t="s">
        <v>507</v>
      </c>
      <c r="G25" s="193" t="s">
        <v>507</v>
      </c>
      <c r="H25" s="193" t="s">
        <v>507</v>
      </c>
      <c r="I25" s="193" t="s">
        <v>507</v>
      </c>
      <c r="J25" s="193" t="s">
        <v>507</v>
      </c>
      <c r="K25" s="193" t="s">
        <v>507</v>
      </c>
    </row>
    <row r="26" spans="1:14" ht="13.8" thickBot="1" x14ac:dyDescent="0.3">
      <c r="A26" s="188">
        <v>3</v>
      </c>
      <c r="B26" s="190" t="s">
        <v>371</v>
      </c>
      <c r="C26" s="193" t="s">
        <v>507</v>
      </c>
      <c r="D26" s="193" t="s">
        <v>507</v>
      </c>
      <c r="E26" s="193" t="s">
        <v>507</v>
      </c>
      <c r="F26" s="193" t="s">
        <v>507</v>
      </c>
      <c r="G26" s="193" t="s">
        <v>507</v>
      </c>
      <c r="H26" s="193" t="s">
        <v>507</v>
      </c>
      <c r="I26" s="193" t="s">
        <v>507</v>
      </c>
      <c r="J26" s="193" t="s">
        <v>507</v>
      </c>
      <c r="K26" s="193" t="s">
        <v>507</v>
      </c>
    </row>
    <row r="27" spans="1:14" ht="13.8" thickBot="1" x14ac:dyDescent="0.3">
      <c r="A27" s="191"/>
      <c r="B27" s="192" t="s">
        <v>372</v>
      </c>
      <c r="C27" s="193" t="s">
        <v>507</v>
      </c>
      <c r="D27" s="193" t="s">
        <v>507</v>
      </c>
      <c r="E27" s="193" t="s">
        <v>507</v>
      </c>
      <c r="F27" s="193" t="s">
        <v>507</v>
      </c>
      <c r="G27" s="193" t="s">
        <v>507</v>
      </c>
      <c r="H27" s="193" t="s">
        <v>507</v>
      </c>
      <c r="I27" s="193" t="s">
        <v>507</v>
      </c>
      <c r="J27" s="193" t="s">
        <v>507</v>
      </c>
      <c r="K27" s="193" t="s">
        <v>507</v>
      </c>
    </row>
    <row r="28" spans="1:14" ht="13.8" thickBot="1" x14ac:dyDescent="0.3">
      <c r="A28" s="191"/>
      <c r="B28" s="192" t="s">
        <v>373</v>
      </c>
      <c r="C28" s="193" t="s">
        <v>507</v>
      </c>
      <c r="D28" s="193" t="s">
        <v>507</v>
      </c>
      <c r="E28" s="193" t="s">
        <v>507</v>
      </c>
      <c r="F28" s="193" t="s">
        <v>507</v>
      </c>
      <c r="G28" s="193" t="s">
        <v>507</v>
      </c>
      <c r="H28" s="193" t="s">
        <v>507</v>
      </c>
      <c r="I28" s="193" t="s">
        <v>507</v>
      </c>
      <c r="J28" s="193" t="s">
        <v>507</v>
      </c>
      <c r="K28" s="193" t="s">
        <v>507</v>
      </c>
    </row>
    <row r="29" spans="1:14" ht="13.8" thickBot="1" x14ac:dyDescent="0.3">
      <c r="A29" s="191"/>
      <c r="B29" s="192" t="s">
        <v>374</v>
      </c>
      <c r="C29" s="193" t="s">
        <v>507</v>
      </c>
      <c r="D29" s="193" t="s">
        <v>507</v>
      </c>
      <c r="E29" s="193" t="s">
        <v>507</v>
      </c>
      <c r="F29" s="193" t="s">
        <v>507</v>
      </c>
      <c r="G29" s="193" t="s">
        <v>507</v>
      </c>
      <c r="H29" s="193" t="s">
        <v>507</v>
      </c>
      <c r="I29" s="193" t="s">
        <v>507</v>
      </c>
      <c r="J29" s="193" t="s">
        <v>507</v>
      </c>
      <c r="K29" s="193" t="s">
        <v>507</v>
      </c>
    </row>
    <row r="30" spans="1:14" ht="13.8" thickBot="1" x14ac:dyDescent="0.3">
      <c r="A30" s="191"/>
      <c r="B30" s="192" t="s">
        <v>375</v>
      </c>
      <c r="C30" s="193" t="s">
        <v>507</v>
      </c>
      <c r="D30" s="193" t="s">
        <v>507</v>
      </c>
      <c r="E30" s="193" t="s">
        <v>507</v>
      </c>
      <c r="F30" s="193" t="s">
        <v>507</v>
      </c>
      <c r="G30" s="193" t="s">
        <v>507</v>
      </c>
      <c r="H30" s="193" t="s">
        <v>507</v>
      </c>
      <c r="I30" s="193" t="s">
        <v>507</v>
      </c>
      <c r="J30" s="193" t="s">
        <v>507</v>
      </c>
      <c r="K30" s="193" t="s">
        <v>507</v>
      </c>
    </row>
    <row r="31" spans="1:14" ht="13.8" thickBot="1" x14ac:dyDescent="0.3">
      <c r="A31" s="191"/>
      <c r="B31" s="192" t="s">
        <v>376</v>
      </c>
      <c r="C31" s="193" t="s">
        <v>507</v>
      </c>
      <c r="D31" s="193" t="s">
        <v>507</v>
      </c>
      <c r="E31" s="193" t="s">
        <v>507</v>
      </c>
      <c r="F31" s="193" t="s">
        <v>507</v>
      </c>
      <c r="G31" s="193" t="s">
        <v>507</v>
      </c>
      <c r="H31" s="193" t="s">
        <v>507</v>
      </c>
      <c r="I31" s="193" t="s">
        <v>507</v>
      </c>
      <c r="J31" s="193" t="s">
        <v>507</v>
      </c>
      <c r="K31" s="193" t="s">
        <v>507</v>
      </c>
    </row>
    <row r="32" spans="1:14" ht="13.8" thickBot="1" x14ac:dyDescent="0.3">
      <c r="A32" s="191"/>
      <c r="B32" s="192" t="s">
        <v>377</v>
      </c>
      <c r="C32" s="193" t="s">
        <v>507</v>
      </c>
      <c r="D32" s="193" t="s">
        <v>507</v>
      </c>
      <c r="E32" s="193" t="s">
        <v>507</v>
      </c>
      <c r="F32" s="193" t="s">
        <v>507</v>
      </c>
      <c r="G32" s="193" t="s">
        <v>507</v>
      </c>
      <c r="H32" s="193" t="s">
        <v>507</v>
      </c>
      <c r="I32" s="193" t="s">
        <v>507</v>
      </c>
      <c r="J32" s="193" t="s">
        <v>507</v>
      </c>
      <c r="K32" s="193" t="s">
        <v>507</v>
      </c>
    </row>
    <row r="33" spans="1:11" ht="13.8" thickBot="1" x14ac:dyDescent="0.3">
      <c r="A33" s="191"/>
      <c r="B33" s="192" t="s">
        <v>378</v>
      </c>
      <c r="C33" s="193" t="s">
        <v>507</v>
      </c>
      <c r="D33" s="193" t="s">
        <v>507</v>
      </c>
      <c r="E33" s="193" t="s">
        <v>507</v>
      </c>
      <c r="F33" s="193" t="s">
        <v>507</v>
      </c>
      <c r="G33" s="193" t="s">
        <v>507</v>
      </c>
      <c r="H33" s="193" t="s">
        <v>507</v>
      </c>
      <c r="I33" s="193" t="s">
        <v>507</v>
      </c>
      <c r="J33" s="193" t="s">
        <v>507</v>
      </c>
      <c r="K33" s="193" t="s">
        <v>507</v>
      </c>
    </row>
    <row r="34" spans="1:11" ht="13.8" thickBot="1" x14ac:dyDescent="0.3">
      <c r="A34" s="191"/>
      <c r="B34" s="192" t="s">
        <v>379</v>
      </c>
      <c r="C34" s="193" t="s">
        <v>507</v>
      </c>
      <c r="D34" s="193" t="s">
        <v>507</v>
      </c>
      <c r="E34" s="193" t="s">
        <v>507</v>
      </c>
      <c r="F34" s="193" t="s">
        <v>507</v>
      </c>
      <c r="G34" s="193" t="s">
        <v>507</v>
      </c>
      <c r="H34" s="193" t="s">
        <v>507</v>
      </c>
      <c r="I34" s="193" t="s">
        <v>507</v>
      </c>
      <c r="J34" s="193" t="s">
        <v>507</v>
      </c>
      <c r="K34" s="193" t="s">
        <v>507</v>
      </c>
    </row>
    <row r="35" spans="1:11" ht="13.8" thickBot="1" x14ac:dyDescent="0.3">
      <c r="A35" s="188">
        <v>4</v>
      </c>
      <c r="B35" s="190" t="s">
        <v>202</v>
      </c>
      <c r="C35" s="193" t="s">
        <v>507</v>
      </c>
      <c r="D35" s="193" t="s">
        <v>507</v>
      </c>
      <c r="E35" s="193" t="s">
        <v>507</v>
      </c>
      <c r="F35" s="193" t="s">
        <v>507</v>
      </c>
      <c r="G35" s="193" t="s">
        <v>507</v>
      </c>
      <c r="H35" s="193" t="s">
        <v>507</v>
      </c>
      <c r="I35" s="193" t="s">
        <v>507</v>
      </c>
      <c r="J35" s="193" t="s">
        <v>507</v>
      </c>
      <c r="K35" s="193" t="s">
        <v>507</v>
      </c>
    </row>
    <row r="36" spans="1:11" ht="13.8" thickBot="1" x14ac:dyDescent="0.3">
      <c r="A36" s="188">
        <v>5</v>
      </c>
      <c r="B36" s="190" t="s">
        <v>380</v>
      </c>
      <c r="C36" s="193"/>
      <c r="D36" s="193"/>
      <c r="E36" s="193"/>
      <c r="F36" s="193"/>
      <c r="G36" s="193"/>
      <c r="H36" s="193"/>
      <c r="I36" s="193"/>
      <c r="J36" s="193"/>
      <c r="K36" s="193"/>
    </row>
    <row r="37" spans="1:11" ht="13.8" thickBot="1" x14ac:dyDescent="0.3">
      <c r="A37" s="188">
        <v>6</v>
      </c>
      <c r="B37" s="190" t="s">
        <v>381</v>
      </c>
      <c r="C37" s="193"/>
      <c r="D37" s="193"/>
      <c r="E37" s="193"/>
      <c r="F37" s="193"/>
      <c r="G37" s="193"/>
      <c r="H37" s="193"/>
      <c r="I37" s="193"/>
      <c r="J37" s="193"/>
      <c r="K37" s="193"/>
    </row>
    <row r="38" spans="1:11" ht="13.8" thickBot="1" x14ac:dyDescent="0.3">
      <c r="A38" s="191"/>
      <c r="B38" s="192" t="s">
        <v>382</v>
      </c>
      <c r="C38" s="193"/>
      <c r="D38" s="193"/>
      <c r="E38" s="193"/>
      <c r="F38" s="193"/>
      <c r="G38" s="193"/>
      <c r="H38" s="193"/>
      <c r="I38" s="193"/>
      <c r="J38" s="193"/>
      <c r="K38" s="193"/>
    </row>
    <row r="39" spans="1:11" ht="13.8" thickBot="1" x14ac:dyDescent="0.3">
      <c r="A39" s="191"/>
      <c r="B39" s="192" t="s">
        <v>383</v>
      </c>
      <c r="C39" s="193"/>
      <c r="D39" s="193"/>
      <c r="E39" s="193"/>
      <c r="F39" s="193"/>
      <c r="G39" s="193"/>
      <c r="H39" s="193"/>
      <c r="I39" s="193"/>
      <c r="J39" s="193"/>
      <c r="K39" s="193"/>
    </row>
    <row r="40" spans="1:11" ht="13.8" thickBot="1" x14ac:dyDescent="0.3">
      <c r="A40" s="191"/>
      <c r="B40" s="192" t="s">
        <v>384</v>
      </c>
      <c r="C40" s="193"/>
      <c r="D40" s="193"/>
      <c r="E40" s="193"/>
      <c r="F40" s="193"/>
      <c r="G40" s="193"/>
      <c r="H40" s="193"/>
      <c r="I40" s="193"/>
      <c r="J40" s="193"/>
      <c r="K40" s="193"/>
    </row>
    <row r="41" spans="1:11" ht="13.8" thickBot="1" x14ac:dyDescent="0.3">
      <c r="A41" s="188">
        <v>7</v>
      </c>
      <c r="B41" s="190" t="s">
        <v>385</v>
      </c>
      <c r="C41" s="193"/>
      <c r="D41" s="193"/>
      <c r="E41" s="193"/>
      <c r="F41" s="193"/>
      <c r="G41" s="193"/>
      <c r="H41" s="193"/>
      <c r="I41" s="193"/>
      <c r="J41" s="193"/>
      <c r="K41" s="193"/>
    </row>
    <row r="42" spans="1:11" ht="13.8" thickBot="1" x14ac:dyDescent="0.3"/>
    <row r="43" spans="1:11" s="173" customFormat="1" ht="13.8" thickBot="1" x14ac:dyDescent="0.3">
      <c r="B43" s="174" t="s">
        <v>45</v>
      </c>
      <c r="J43" s="175">
        <f>'Infrastructure and Systems'!M44</f>
        <v>0</v>
      </c>
    </row>
    <row r="44" spans="1:11" ht="13.8" thickBot="1" x14ac:dyDescent="0.3">
      <c r="A44" s="176" t="s">
        <v>0</v>
      </c>
      <c r="B44" s="177" t="s">
        <v>1</v>
      </c>
      <c r="C44" s="165" t="s">
        <v>508</v>
      </c>
      <c r="D44" s="165" t="s">
        <v>85</v>
      </c>
      <c r="E44" s="165" t="s">
        <v>86</v>
      </c>
      <c r="F44" s="165" t="s">
        <v>87</v>
      </c>
      <c r="G44" s="165" t="s">
        <v>88</v>
      </c>
      <c r="H44" s="165" t="s">
        <v>89</v>
      </c>
      <c r="I44" s="165" t="s">
        <v>90</v>
      </c>
      <c r="J44" s="165" t="s">
        <v>91</v>
      </c>
    </row>
    <row r="45" spans="1:11" ht="25.8" thickBot="1" x14ac:dyDescent="0.3">
      <c r="A45" s="183">
        <v>1</v>
      </c>
      <c r="B45" s="190" t="s">
        <v>357</v>
      </c>
      <c r="C45" s="184" t="s">
        <v>249</v>
      </c>
      <c r="D45" s="184" t="s">
        <v>250</v>
      </c>
      <c r="E45" s="184" t="s">
        <v>249</v>
      </c>
      <c r="F45" s="184" t="s">
        <v>251</v>
      </c>
      <c r="G45" s="184" t="s">
        <v>251</v>
      </c>
      <c r="H45" s="184" t="s">
        <v>249</v>
      </c>
      <c r="I45" s="184" t="s">
        <v>249</v>
      </c>
      <c r="J45" s="184"/>
    </row>
    <row r="46" spans="1:11" ht="13.8" thickBot="1" x14ac:dyDescent="0.3">
      <c r="A46" s="188">
        <v>2</v>
      </c>
      <c r="B46" s="190" t="s">
        <v>359</v>
      </c>
      <c r="C46" s="184" t="s">
        <v>252</v>
      </c>
      <c r="D46" s="184" t="s">
        <v>252</v>
      </c>
      <c r="E46" s="184" t="s">
        <v>252</v>
      </c>
      <c r="F46" s="184" t="s">
        <v>252</v>
      </c>
      <c r="G46" s="184" t="s">
        <v>252</v>
      </c>
      <c r="H46" s="184" t="s">
        <v>252</v>
      </c>
      <c r="I46" s="184" t="s">
        <v>252</v>
      </c>
      <c r="J46" s="184"/>
    </row>
    <row r="47" spans="1:11" ht="13.8" thickBot="1" x14ac:dyDescent="0.3">
      <c r="A47" s="188">
        <v>3</v>
      </c>
      <c r="B47" s="190" t="s">
        <v>371</v>
      </c>
      <c r="C47" s="184" t="s">
        <v>252</v>
      </c>
      <c r="D47" s="184" t="s">
        <v>252</v>
      </c>
      <c r="E47" s="184" t="s">
        <v>253</v>
      </c>
      <c r="F47" s="184" t="s">
        <v>254</v>
      </c>
      <c r="G47" s="184" t="s">
        <v>255</v>
      </c>
      <c r="H47" s="184" t="s">
        <v>256</v>
      </c>
      <c r="I47" s="184" t="s">
        <v>252</v>
      </c>
      <c r="J47" s="184"/>
    </row>
    <row r="48" spans="1:11" ht="13.8" thickBot="1" x14ac:dyDescent="0.3">
      <c r="A48" s="191"/>
      <c r="B48" s="192" t="s">
        <v>372</v>
      </c>
      <c r="C48" s="184" t="s">
        <v>257</v>
      </c>
      <c r="D48" s="184" t="s">
        <v>252</v>
      </c>
      <c r="E48" s="184" t="s">
        <v>253</v>
      </c>
      <c r="F48" s="184" t="s">
        <v>254</v>
      </c>
      <c r="G48" s="184" t="s">
        <v>258</v>
      </c>
      <c r="H48" s="184" t="s">
        <v>259</v>
      </c>
      <c r="I48" s="184" t="s">
        <v>252</v>
      </c>
      <c r="J48" s="184"/>
    </row>
    <row r="49" spans="1:10" ht="27" thickBot="1" x14ac:dyDescent="0.3">
      <c r="A49" s="191"/>
      <c r="B49" s="192" t="s">
        <v>373</v>
      </c>
      <c r="C49" s="184" t="s">
        <v>252</v>
      </c>
      <c r="D49" s="184" t="s">
        <v>252</v>
      </c>
      <c r="E49" s="184" t="s">
        <v>260</v>
      </c>
      <c r="F49" s="184" t="s">
        <v>254</v>
      </c>
      <c r="G49" s="184" t="s">
        <v>255</v>
      </c>
      <c r="H49" s="184" t="s">
        <v>256</v>
      </c>
      <c r="I49" s="184" t="s">
        <v>252</v>
      </c>
      <c r="J49" s="184"/>
    </row>
    <row r="50" spans="1:10" ht="13.8" thickBot="1" x14ac:dyDescent="0.3">
      <c r="A50" s="191"/>
      <c r="B50" s="192" t="s">
        <v>374</v>
      </c>
      <c r="C50" s="184" t="s">
        <v>252</v>
      </c>
      <c r="D50" s="184" t="s">
        <v>252</v>
      </c>
      <c r="E50" s="184" t="s">
        <v>253</v>
      </c>
      <c r="F50" s="184" t="s">
        <v>254</v>
      </c>
      <c r="G50" s="184" t="s">
        <v>255</v>
      </c>
      <c r="H50" s="184" t="s">
        <v>256</v>
      </c>
      <c r="I50" s="184" t="s">
        <v>252</v>
      </c>
      <c r="J50" s="184"/>
    </row>
    <row r="51" spans="1:10" ht="13.8" thickBot="1" x14ac:dyDescent="0.3">
      <c r="A51" s="191"/>
      <c r="B51" s="192" t="s">
        <v>375</v>
      </c>
      <c r="C51" s="184" t="s">
        <v>206</v>
      </c>
      <c r="D51" s="184" t="s">
        <v>206</v>
      </c>
      <c r="E51" s="184" t="s">
        <v>207</v>
      </c>
      <c r="F51" s="184" t="s">
        <v>254</v>
      </c>
      <c r="G51" s="184" t="s">
        <v>261</v>
      </c>
      <c r="H51" s="184" t="s">
        <v>262</v>
      </c>
      <c r="I51" s="184" t="s">
        <v>263</v>
      </c>
      <c r="J51" s="184"/>
    </row>
    <row r="52" spans="1:10" ht="13.8" thickBot="1" x14ac:dyDescent="0.3">
      <c r="A52" s="191"/>
      <c r="B52" s="192" t="s">
        <v>376</v>
      </c>
      <c r="C52" s="184">
        <v>9</v>
      </c>
      <c r="D52" s="184">
        <v>9</v>
      </c>
      <c r="E52" s="184">
        <v>10</v>
      </c>
      <c r="F52" s="184">
        <v>8</v>
      </c>
      <c r="G52" s="184">
        <v>11</v>
      </c>
      <c r="H52" s="184" t="s">
        <v>264</v>
      </c>
      <c r="I52" s="184">
        <v>9</v>
      </c>
      <c r="J52" s="184"/>
    </row>
    <row r="53" spans="1:10" ht="13.8" thickBot="1" x14ac:dyDescent="0.3">
      <c r="A53" s="191"/>
      <c r="B53" s="192" t="s">
        <v>377</v>
      </c>
      <c r="C53" s="184" t="s">
        <v>265</v>
      </c>
      <c r="D53" s="184" t="s">
        <v>265</v>
      </c>
      <c r="E53" s="184" t="s">
        <v>253</v>
      </c>
      <c r="F53" s="184" t="s">
        <v>254</v>
      </c>
      <c r="G53" s="184" t="s">
        <v>255</v>
      </c>
      <c r="H53" s="184" t="s">
        <v>255</v>
      </c>
      <c r="I53" s="184" t="s">
        <v>265</v>
      </c>
      <c r="J53" s="184"/>
    </row>
    <row r="54" spans="1:10" ht="13.8" thickBot="1" x14ac:dyDescent="0.3">
      <c r="A54" s="191"/>
      <c r="B54" s="192" t="s">
        <v>378</v>
      </c>
      <c r="C54" s="184" t="s">
        <v>266</v>
      </c>
      <c r="D54" s="184" t="s">
        <v>266</v>
      </c>
      <c r="E54" s="184" t="s">
        <v>266</v>
      </c>
      <c r="F54" s="184" t="s">
        <v>266</v>
      </c>
      <c r="G54" s="184" t="s">
        <v>255</v>
      </c>
      <c r="H54" s="184" t="s">
        <v>266</v>
      </c>
      <c r="I54" s="184" t="s">
        <v>266</v>
      </c>
      <c r="J54" s="184"/>
    </row>
    <row r="55" spans="1:10" ht="13.8" thickBot="1" x14ac:dyDescent="0.3">
      <c r="A55" s="191"/>
      <c r="B55" s="192" t="s">
        <v>379</v>
      </c>
      <c r="C55" s="184" t="s">
        <v>267</v>
      </c>
      <c r="D55" s="184" t="s">
        <v>267</v>
      </c>
      <c r="E55" s="184" t="s">
        <v>267</v>
      </c>
      <c r="F55" s="184" t="s">
        <v>267</v>
      </c>
      <c r="G55" s="184" t="s">
        <v>255</v>
      </c>
      <c r="H55" s="184" t="s">
        <v>267</v>
      </c>
      <c r="I55" s="184" t="s">
        <v>267</v>
      </c>
      <c r="J55" s="184"/>
    </row>
    <row r="56" spans="1:10" ht="13.8" thickBot="1" x14ac:dyDescent="0.3">
      <c r="A56" s="188">
        <v>4</v>
      </c>
      <c r="B56" s="190" t="s">
        <v>202</v>
      </c>
      <c r="C56" s="184" t="s">
        <v>253</v>
      </c>
      <c r="D56" s="184" t="s">
        <v>253</v>
      </c>
      <c r="E56" s="184" t="s">
        <v>253</v>
      </c>
      <c r="F56" s="184" t="s">
        <v>254</v>
      </c>
      <c r="G56" s="184" t="s">
        <v>255</v>
      </c>
      <c r="H56" s="184" t="s">
        <v>268</v>
      </c>
      <c r="I56" s="184" t="s">
        <v>253</v>
      </c>
      <c r="J56" s="184"/>
    </row>
    <row r="57" spans="1:10" ht="13.8" thickBot="1" x14ac:dyDescent="0.3">
      <c r="A57" s="188">
        <v>5</v>
      </c>
      <c r="B57" s="190" t="s">
        <v>380</v>
      </c>
      <c r="C57" s="184" t="s">
        <v>258</v>
      </c>
      <c r="D57" s="184" t="s">
        <v>258</v>
      </c>
      <c r="E57" s="184" t="s">
        <v>258</v>
      </c>
      <c r="F57" s="184" t="s">
        <v>258</v>
      </c>
      <c r="G57" s="184" t="s">
        <v>258</v>
      </c>
      <c r="H57" s="184" t="s">
        <v>258</v>
      </c>
      <c r="I57" s="184" t="s">
        <v>258</v>
      </c>
      <c r="J57" s="184"/>
    </row>
    <row r="58" spans="1:10" ht="13.8" thickBot="1" x14ac:dyDescent="0.3">
      <c r="A58" s="188">
        <v>6</v>
      </c>
      <c r="B58" s="190" t="s">
        <v>381</v>
      </c>
      <c r="C58" s="184" t="s">
        <v>269</v>
      </c>
      <c r="D58" s="184" t="s">
        <v>270</v>
      </c>
      <c r="E58" s="184" t="s">
        <v>270</v>
      </c>
      <c r="F58" s="184" t="s">
        <v>270</v>
      </c>
      <c r="G58" s="184" t="s">
        <v>270</v>
      </c>
      <c r="H58" s="184" t="s">
        <v>270</v>
      </c>
      <c r="I58" s="184" t="s">
        <v>270</v>
      </c>
      <c r="J58" s="184"/>
    </row>
    <row r="59" spans="1:10" ht="13.8" thickBot="1" x14ac:dyDescent="0.3">
      <c r="A59" s="191"/>
      <c r="B59" s="192" t="s">
        <v>382</v>
      </c>
      <c r="C59" s="193"/>
      <c r="D59" s="193"/>
      <c r="E59" s="193"/>
      <c r="F59" s="193"/>
      <c r="G59" s="193"/>
      <c r="H59" s="193"/>
      <c r="I59" s="193"/>
      <c r="J59" s="193"/>
    </row>
    <row r="60" spans="1:10" ht="13.8" thickBot="1" x14ac:dyDescent="0.3">
      <c r="A60" s="191"/>
      <c r="B60" s="192" t="s">
        <v>383</v>
      </c>
      <c r="C60" s="193"/>
      <c r="D60" s="193"/>
      <c r="E60" s="193"/>
      <c r="F60" s="193"/>
      <c r="G60" s="193"/>
      <c r="H60" s="193"/>
      <c r="I60" s="193"/>
      <c r="J60" s="193"/>
    </row>
    <row r="61" spans="1:10" ht="13.8" thickBot="1" x14ac:dyDescent="0.3">
      <c r="A61" s="191"/>
      <c r="B61" s="192" t="s">
        <v>384</v>
      </c>
      <c r="C61" s="193"/>
      <c r="D61" s="193"/>
      <c r="E61" s="193"/>
      <c r="F61" s="193"/>
      <c r="G61" s="193"/>
      <c r="H61" s="193"/>
      <c r="I61" s="193"/>
      <c r="J61" s="193"/>
    </row>
    <row r="62" spans="1:10" ht="13.8" thickBot="1" x14ac:dyDescent="0.3">
      <c r="A62" s="188">
        <v>7</v>
      </c>
      <c r="B62" s="190" t="s">
        <v>385</v>
      </c>
      <c r="C62" s="193"/>
      <c r="D62" s="193"/>
      <c r="E62" s="193"/>
      <c r="F62" s="193"/>
      <c r="G62" s="193"/>
      <c r="H62" s="193"/>
      <c r="I62" s="193"/>
      <c r="J62" s="193"/>
    </row>
    <row r="63" spans="1:10" ht="13.8" thickBot="1" x14ac:dyDescent="0.3"/>
    <row r="64" spans="1:10" s="173" customFormat="1" ht="13.8" thickBot="1" x14ac:dyDescent="0.3">
      <c r="B64" s="174" t="s">
        <v>46</v>
      </c>
      <c r="J64" s="263"/>
    </row>
    <row r="65" spans="1:12" s="173" customFormat="1" ht="25.8" thickBot="1" x14ac:dyDescent="0.3">
      <c r="A65" s="165" t="s">
        <v>0</v>
      </c>
      <c r="B65" s="165" t="s">
        <v>175</v>
      </c>
      <c r="C65" s="165" t="s">
        <v>104</v>
      </c>
      <c r="D65" s="165" t="s">
        <v>105</v>
      </c>
      <c r="E65" s="165" t="s">
        <v>106</v>
      </c>
      <c r="F65" s="165" t="s">
        <v>107</v>
      </c>
      <c r="G65" s="165" t="s">
        <v>108</v>
      </c>
      <c r="H65" s="165" t="s">
        <v>109</v>
      </c>
      <c r="I65" s="165" t="s">
        <v>110</v>
      </c>
      <c r="J65" s="165" t="s">
        <v>111</v>
      </c>
    </row>
    <row r="66" spans="1:12" s="173" customFormat="1" ht="25.8" thickBot="1" x14ac:dyDescent="0.3">
      <c r="A66" s="188">
        <v>1</v>
      </c>
      <c r="B66" s="190" t="s">
        <v>357</v>
      </c>
      <c r="C66" s="259" t="s">
        <v>509</v>
      </c>
      <c r="D66" s="259" t="s">
        <v>510</v>
      </c>
      <c r="E66" s="259" t="s">
        <v>511</v>
      </c>
      <c r="F66" s="259" t="s">
        <v>511</v>
      </c>
      <c r="G66" s="259" t="s">
        <v>511</v>
      </c>
      <c r="H66" s="259" t="s">
        <v>511</v>
      </c>
      <c r="I66" s="259" t="s">
        <v>512</v>
      </c>
      <c r="J66" s="259" t="s">
        <v>513</v>
      </c>
    </row>
    <row r="67" spans="1:12" s="173" customFormat="1" ht="13.8" thickBot="1" x14ac:dyDescent="0.3">
      <c r="A67" s="188">
        <v>2</v>
      </c>
      <c r="B67" s="190" t="s">
        <v>359</v>
      </c>
      <c r="C67" s="259" t="s">
        <v>514</v>
      </c>
      <c r="D67" s="259" t="s">
        <v>515</v>
      </c>
      <c r="E67" s="259" t="s">
        <v>515</v>
      </c>
      <c r="F67" s="259" t="s">
        <v>515</v>
      </c>
      <c r="G67" s="259" t="s">
        <v>515</v>
      </c>
      <c r="H67" s="259" t="s">
        <v>515</v>
      </c>
      <c r="I67" s="259" t="s">
        <v>509</v>
      </c>
      <c r="J67" s="259" t="s">
        <v>516</v>
      </c>
      <c r="K67" s="264"/>
      <c r="L67" s="265"/>
    </row>
    <row r="68" spans="1:12" s="173" customFormat="1" ht="13.8" thickBot="1" x14ac:dyDescent="0.3">
      <c r="A68" s="188">
        <v>3</v>
      </c>
      <c r="B68" s="190" t="s">
        <v>371</v>
      </c>
      <c r="C68" s="259" t="s">
        <v>326</v>
      </c>
      <c r="D68" s="259" t="s">
        <v>517</v>
      </c>
      <c r="E68" s="259" t="s">
        <v>517</v>
      </c>
      <c r="F68" s="259" t="s">
        <v>517</v>
      </c>
      <c r="G68" s="259" t="s">
        <v>517</v>
      </c>
      <c r="H68" s="259" t="s">
        <v>517</v>
      </c>
      <c r="I68" s="259" t="s">
        <v>518</v>
      </c>
      <c r="J68" s="259" t="s">
        <v>519</v>
      </c>
      <c r="K68" s="264"/>
      <c r="L68" s="265"/>
    </row>
    <row r="69" spans="1:12" s="173" customFormat="1" ht="27" thickBot="1" x14ac:dyDescent="0.3">
      <c r="A69" s="188"/>
      <c r="B69" s="192" t="s">
        <v>372</v>
      </c>
      <c r="C69" s="259" t="s">
        <v>520</v>
      </c>
      <c r="D69" s="259" t="s">
        <v>521</v>
      </c>
      <c r="E69" s="259" t="s">
        <v>522</v>
      </c>
      <c r="F69" s="259" t="s">
        <v>523</v>
      </c>
      <c r="G69" s="259" t="s">
        <v>524</v>
      </c>
      <c r="H69" s="259" t="s">
        <v>524</v>
      </c>
      <c r="I69" s="259" t="s">
        <v>525</v>
      </c>
      <c r="J69" s="259" t="s">
        <v>524</v>
      </c>
      <c r="K69" s="264"/>
      <c r="L69" s="265"/>
    </row>
    <row r="70" spans="1:12" s="173" customFormat="1" ht="13.8" thickBot="1" x14ac:dyDescent="0.3">
      <c r="A70" s="188"/>
      <c r="B70" s="192" t="s">
        <v>373</v>
      </c>
      <c r="C70" s="259" t="s">
        <v>526</v>
      </c>
      <c r="D70" s="259" t="s">
        <v>527</v>
      </c>
      <c r="E70" s="259" t="s">
        <v>528</v>
      </c>
      <c r="F70" s="259" t="s">
        <v>529</v>
      </c>
      <c r="G70" s="259" t="s">
        <v>530</v>
      </c>
      <c r="H70" s="259" t="s">
        <v>530</v>
      </c>
      <c r="I70" s="259" t="s">
        <v>531</v>
      </c>
      <c r="J70" s="259" t="s">
        <v>530</v>
      </c>
      <c r="K70" s="264"/>
      <c r="L70" s="265"/>
    </row>
    <row r="71" spans="1:12" s="173" customFormat="1" ht="13.8" thickBot="1" x14ac:dyDescent="0.3">
      <c r="A71" s="188"/>
      <c r="B71" s="192" t="s">
        <v>374</v>
      </c>
      <c r="C71" s="259" t="s">
        <v>532</v>
      </c>
      <c r="D71" s="259" t="s">
        <v>533</v>
      </c>
      <c r="E71" s="259" t="s">
        <v>534</v>
      </c>
      <c r="F71" s="259" t="s">
        <v>534</v>
      </c>
      <c r="G71" s="259" t="s">
        <v>535</v>
      </c>
      <c r="H71" s="259" t="s">
        <v>535</v>
      </c>
      <c r="I71" s="259" t="s">
        <v>536</v>
      </c>
      <c r="J71" s="259" t="s">
        <v>537</v>
      </c>
      <c r="K71" s="266"/>
      <c r="L71" s="265"/>
    </row>
    <row r="72" spans="1:12" s="173" customFormat="1" ht="13.8" thickBot="1" x14ac:dyDescent="0.3">
      <c r="A72" s="188"/>
      <c r="B72" s="192" t="s">
        <v>375</v>
      </c>
      <c r="C72" s="259" t="s">
        <v>538</v>
      </c>
      <c r="D72" s="259" t="s">
        <v>539</v>
      </c>
      <c r="E72" s="259" t="s">
        <v>528</v>
      </c>
      <c r="F72" s="259" t="s">
        <v>528</v>
      </c>
      <c r="G72" s="259" t="s">
        <v>540</v>
      </c>
      <c r="H72" s="259" t="s">
        <v>540</v>
      </c>
      <c r="I72" s="259" t="s">
        <v>541</v>
      </c>
      <c r="J72" s="259" t="s">
        <v>542</v>
      </c>
      <c r="K72" s="266"/>
      <c r="L72" s="265"/>
    </row>
    <row r="73" spans="1:12" s="173" customFormat="1" ht="13.8" thickBot="1" x14ac:dyDescent="0.3">
      <c r="A73" s="188"/>
      <c r="B73" s="192" t="s">
        <v>376</v>
      </c>
      <c r="C73" s="259" t="s">
        <v>543</v>
      </c>
      <c r="D73" s="259" t="s">
        <v>544</v>
      </c>
      <c r="E73" s="259" t="s">
        <v>545</v>
      </c>
      <c r="F73" s="259" t="s">
        <v>546</v>
      </c>
      <c r="G73" s="259" t="s">
        <v>547</v>
      </c>
      <c r="H73" s="259" t="s">
        <v>547</v>
      </c>
      <c r="I73" s="259" t="s">
        <v>548</v>
      </c>
      <c r="J73" s="259" t="s">
        <v>547</v>
      </c>
      <c r="K73" s="266"/>
      <c r="L73" s="265"/>
    </row>
    <row r="74" spans="1:12" s="173" customFormat="1" ht="13.8" thickBot="1" x14ac:dyDescent="0.3">
      <c r="A74" s="188"/>
      <c r="B74" s="192" t="s">
        <v>377</v>
      </c>
      <c r="C74" s="259" t="s">
        <v>549</v>
      </c>
      <c r="D74" s="259" t="s">
        <v>550</v>
      </c>
      <c r="E74" s="259" t="s">
        <v>551</v>
      </c>
      <c r="F74" s="259" t="s">
        <v>551</v>
      </c>
      <c r="G74" s="259" t="s">
        <v>552</v>
      </c>
      <c r="H74" s="259" t="s">
        <v>552</v>
      </c>
      <c r="I74" s="259" t="s">
        <v>553</v>
      </c>
      <c r="J74" s="259" t="s">
        <v>554</v>
      </c>
      <c r="K74" s="266"/>
      <c r="L74" s="265"/>
    </row>
    <row r="75" spans="1:12" s="173" customFormat="1" ht="13.8" thickBot="1" x14ac:dyDescent="0.3">
      <c r="A75" s="188"/>
      <c r="B75" s="192" t="s">
        <v>378</v>
      </c>
      <c r="C75" s="259" t="s">
        <v>555</v>
      </c>
      <c r="D75" s="259"/>
      <c r="E75" s="259"/>
      <c r="F75" s="259"/>
      <c r="G75" s="259" t="s">
        <v>556</v>
      </c>
      <c r="H75" s="259" t="s">
        <v>556</v>
      </c>
      <c r="I75" s="259" t="s">
        <v>557</v>
      </c>
      <c r="J75" s="259" t="s">
        <v>556</v>
      </c>
      <c r="K75" s="266"/>
      <c r="L75" s="265"/>
    </row>
    <row r="76" spans="1:12" s="173" customFormat="1" ht="13.8" thickBot="1" x14ac:dyDescent="0.3">
      <c r="A76" s="188"/>
      <c r="B76" s="192" t="s">
        <v>379</v>
      </c>
      <c r="C76" s="259" t="s">
        <v>558</v>
      </c>
      <c r="D76" s="259" t="s">
        <v>559</v>
      </c>
      <c r="E76" s="259"/>
      <c r="F76" s="259"/>
      <c r="G76" s="259"/>
      <c r="H76" s="259"/>
      <c r="I76" s="259"/>
      <c r="J76" s="259"/>
      <c r="K76" s="266"/>
      <c r="L76" s="265"/>
    </row>
    <row r="77" spans="1:12" s="173" customFormat="1" ht="13.8" thickBot="1" x14ac:dyDescent="0.3">
      <c r="A77" s="188">
        <v>4</v>
      </c>
      <c r="B77" s="192" t="s">
        <v>202</v>
      </c>
      <c r="C77" s="259" t="s">
        <v>269</v>
      </c>
      <c r="D77" s="259" t="s">
        <v>560</v>
      </c>
      <c r="E77" s="259" t="s">
        <v>561</v>
      </c>
      <c r="F77" s="259" t="s">
        <v>562</v>
      </c>
      <c r="G77" s="259" t="s">
        <v>562</v>
      </c>
      <c r="H77" s="259" t="s">
        <v>562</v>
      </c>
      <c r="I77" s="259" t="s">
        <v>563</v>
      </c>
      <c r="J77" s="259" t="s">
        <v>562</v>
      </c>
      <c r="K77" s="264"/>
      <c r="L77" s="265"/>
    </row>
    <row r="78" spans="1:12" s="173" customFormat="1" ht="13.8" thickBot="1" x14ac:dyDescent="0.3">
      <c r="A78" s="188">
        <v>5</v>
      </c>
      <c r="B78" s="192" t="s">
        <v>380</v>
      </c>
      <c r="C78" s="259" t="s">
        <v>564</v>
      </c>
      <c r="D78" s="259" t="s">
        <v>565</v>
      </c>
      <c r="E78" s="259">
        <v>7</v>
      </c>
      <c r="F78" s="259">
        <v>6</v>
      </c>
      <c r="G78" s="259">
        <v>9</v>
      </c>
      <c r="H78" s="259" t="s">
        <v>566</v>
      </c>
      <c r="I78" s="259" t="s">
        <v>567</v>
      </c>
      <c r="J78" s="259">
        <v>5</v>
      </c>
      <c r="K78" s="264"/>
      <c r="L78" s="264"/>
    </row>
    <row r="79" spans="1:12" s="173" customFormat="1" ht="13.8" thickBot="1" x14ac:dyDescent="0.3">
      <c r="A79" s="188">
        <v>6</v>
      </c>
      <c r="B79" s="190" t="s">
        <v>381</v>
      </c>
      <c r="C79" s="259">
        <v>12</v>
      </c>
      <c r="D79" s="259"/>
      <c r="E79" s="259">
        <v>14</v>
      </c>
      <c r="F79" s="259">
        <v>12</v>
      </c>
      <c r="G79" s="259">
        <v>12</v>
      </c>
      <c r="H79" s="259">
        <v>13</v>
      </c>
      <c r="I79" s="259">
        <v>6</v>
      </c>
      <c r="J79" s="259">
        <v>13</v>
      </c>
      <c r="K79" s="267"/>
      <c r="L79" s="265"/>
    </row>
    <row r="80" spans="1:12" s="173" customFormat="1" ht="13.8" thickBot="1" x14ac:dyDescent="0.3">
      <c r="A80" s="188"/>
      <c r="B80" s="192" t="s">
        <v>382</v>
      </c>
      <c r="C80" s="259">
        <v>12</v>
      </c>
      <c r="D80" s="259">
        <v>14</v>
      </c>
      <c r="E80" s="259">
        <v>13</v>
      </c>
      <c r="F80" s="259">
        <v>12</v>
      </c>
      <c r="G80" s="259">
        <v>16</v>
      </c>
      <c r="H80" s="259">
        <v>16</v>
      </c>
      <c r="I80" s="259">
        <v>8</v>
      </c>
      <c r="J80" s="259">
        <v>13</v>
      </c>
      <c r="K80" s="264"/>
      <c r="L80" s="265"/>
    </row>
    <row r="81" spans="1:18" s="173" customFormat="1" ht="13.8" thickBot="1" x14ac:dyDescent="0.3">
      <c r="A81" s="188"/>
      <c r="B81" s="192" t="s">
        <v>383</v>
      </c>
      <c r="C81" s="259">
        <v>12</v>
      </c>
      <c r="D81" s="259">
        <v>18</v>
      </c>
      <c r="E81" s="259">
        <v>14</v>
      </c>
      <c r="F81" s="259">
        <v>12</v>
      </c>
      <c r="G81" s="259">
        <v>14</v>
      </c>
      <c r="H81" s="259">
        <v>15</v>
      </c>
      <c r="I81" s="259">
        <v>6</v>
      </c>
      <c r="J81" s="259">
        <v>13</v>
      </c>
      <c r="K81" s="264"/>
      <c r="L81" s="265"/>
    </row>
    <row r="82" spans="1:18" s="173" customFormat="1" ht="13.8" thickBot="1" x14ac:dyDescent="0.3">
      <c r="A82" s="188"/>
      <c r="B82" s="192" t="s">
        <v>384</v>
      </c>
      <c r="C82" s="259">
        <v>12</v>
      </c>
      <c r="D82" s="259">
        <v>13</v>
      </c>
      <c r="E82" s="259">
        <v>13</v>
      </c>
      <c r="F82" s="259">
        <v>12</v>
      </c>
      <c r="G82" s="259">
        <v>15</v>
      </c>
      <c r="H82" s="259">
        <v>14</v>
      </c>
      <c r="I82" s="259">
        <v>6</v>
      </c>
      <c r="J82" s="259">
        <v>13</v>
      </c>
      <c r="K82" s="264"/>
      <c r="L82" s="265"/>
    </row>
    <row r="83" spans="1:18" ht="13.8" thickBot="1" x14ac:dyDescent="0.3">
      <c r="A83" s="188">
        <v>7</v>
      </c>
      <c r="B83" s="190" t="s">
        <v>385</v>
      </c>
      <c r="C83" s="193"/>
      <c r="D83" s="193"/>
      <c r="E83" s="193"/>
      <c r="F83" s="193"/>
      <c r="G83" s="193"/>
      <c r="H83" s="193"/>
      <c r="I83" s="193"/>
      <c r="J83" s="193"/>
    </row>
    <row r="84" spans="1:18" ht="13.8" thickBot="1" x14ac:dyDescent="0.3"/>
    <row r="85" spans="1:18" ht="13.8" thickBot="1" x14ac:dyDescent="0.3">
      <c r="B85" s="174" t="s">
        <v>47</v>
      </c>
    </row>
    <row r="86" spans="1:18" s="48" customFormat="1" ht="25.8" thickBot="1" x14ac:dyDescent="0.3">
      <c r="A86" s="165" t="s">
        <v>0</v>
      </c>
      <c r="B86" s="165" t="s">
        <v>1</v>
      </c>
      <c r="C86" s="165" t="s">
        <v>135</v>
      </c>
      <c r="D86" s="165" t="s">
        <v>136</v>
      </c>
      <c r="E86" s="165" t="s">
        <v>137</v>
      </c>
      <c r="F86" s="165" t="s">
        <v>138</v>
      </c>
      <c r="G86" s="165" t="s">
        <v>291</v>
      </c>
      <c r="H86" s="165" t="s">
        <v>139</v>
      </c>
      <c r="I86" s="165" t="s">
        <v>140</v>
      </c>
      <c r="J86" s="165" t="s">
        <v>141</v>
      </c>
      <c r="K86" s="165" t="s">
        <v>568</v>
      </c>
      <c r="L86" s="165" t="s">
        <v>147</v>
      </c>
      <c r="M86" s="165" t="s">
        <v>142</v>
      </c>
      <c r="N86" s="165" t="s">
        <v>143</v>
      </c>
      <c r="O86" s="165" t="s">
        <v>293</v>
      </c>
      <c r="P86" s="165" t="s">
        <v>144</v>
      </c>
      <c r="Q86" s="165" t="s">
        <v>569</v>
      </c>
      <c r="R86" s="165" t="s">
        <v>145</v>
      </c>
    </row>
    <row r="87" spans="1:18" s="48" customFormat="1" ht="53.4" thickBot="1" x14ac:dyDescent="0.3">
      <c r="A87" s="262">
        <v>1</v>
      </c>
      <c r="B87" s="262" t="s">
        <v>357</v>
      </c>
      <c r="C87" s="260" t="s">
        <v>570</v>
      </c>
      <c r="D87" s="260" t="s">
        <v>571</v>
      </c>
      <c r="E87" s="260"/>
      <c r="F87" s="260" t="s">
        <v>97</v>
      </c>
      <c r="G87" s="260" t="s">
        <v>572</v>
      </c>
      <c r="H87" s="260" t="s">
        <v>97</v>
      </c>
      <c r="I87" s="260" t="s">
        <v>572</v>
      </c>
      <c r="J87" s="260" t="s">
        <v>573</v>
      </c>
      <c r="K87" s="260" t="s">
        <v>256</v>
      </c>
      <c r="L87" s="260" t="s">
        <v>574</v>
      </c>
      <c r="M87" s="260" t="s">
        <v>300</v>
      </c>
      <c r="N87" s="260" t="s">
        <v>575</v>
      </c>
      <c r="O87" s="260" t="s">
        <v>576</v>
      </c>
      <c r="P87" s="260" t="s">
        <v>577</v>
      </c>
      <c r="Q87" s="260" t="s">
        <v>578</v>
      </c>
      <c r="R87" s="260" t="s">
        <v>300</v>
      </c>
    </row>
    <row r="88" spans="1:18" s="48" customFormat="1" ht="53.4" thickBot="1" x14ac:dyDescent="0.3">
      <c r="A88" s="262">
        <v>2</v>
      </c>
      <c r="B88" s="262" t="s">
        <v>359</v>
      </c>
      <c r="C88" s="260" t="s">
        <v>579</v>
      </c>
      <c r="D88" s="260" t="s">
        <v>580</v>
      </c>
      <c r="E88" s="260"/>
      <c r="F88" s="260"/>
      <c r="G88" s="260" t="s">
        <v>579</v>
      </c>
      <c r="H88" s="260"/>
      <c r="I88" s="260" t="s">
        <v>579</v>
      </c>
      <c r="J88" s="260" t="s">
        <v>581</v>
      </c>
      <c r="K88" s="260"/>
      <c r="L88" s="260" t="s">
        <v>582</v>
      </c>
      <c r="M88" s="260" t="s">
        <v>300</v>
      </c>
      <c r="N88" s="260"/>
      <c r="O88" s="260" t="s">
        <v>253</v>
      </c>
      <c r="P88" s="260" t="s">
        <v>581</v>
      </c>
      <c r="Q88" s="260" t="s">
        <v>583</v>
      </c>
      <c r="R88" s="260" t="s">
        <v>300</v>
      </c>
    </row>
    <row r="89" spans="1:18" s="48" customFormat="1" ht="27" thickBot="1" x14ac:dyDescent="0.3">
      <c r="A89" s="513">
        <v>3</v>
      </c>
      <c r="B89" s="513" t="s">
        <v>584</v>
      </c>
      <c r="C89" s="261" t="s">
        <v>585</v>
      </c>
      <c r="D89" s="261" t="s">
        <v>586</v>
      </c>
      <c r="E89" s="260"/>
      <c r="F89" s="261" t="s">
        <v>587</v>
      </c>
      <c r="G89" s="261" t="s">
        <v>588</v>
      </c>
      <c r="H89" s="261" t="s">
        <v>589</v>
      </c>
      <c r="I89" s="261" t="s">
        <v>590</v>
      </c>
      <c r="J89" s="261" t="s">
        <v>591</v>
      </c>
      <c r="K89" s="261" t="s">
        <v>592</v>
      </c>
      <c r="L89" s="261" t="s">
        <v>593</v>
      </c>
      <c r="M89" s="260" t="s">
        <v>300</v>
      </c>
      <c r="N89" s="261" t="s">
        <v>594</v>
      </c>
      <c r="O89" s="261" t="s">
        <v>595</v>
      </c>
      <c r="P89" s="261" t="s">
        <v>591</v>
      </c>
      <c r="Q89" s="261" t="s">
        <v>583</v>
      </c>
      <c r="R89" s="260" t="s">
        <v>300</v>
      </c>
    </row>
    <row r="90" spans="1:18" s="48" customFormat="1" ht="27" thickBot="1" x14ac:dyDescent="0.3">
      <c r="A90" s="515"/>
      <c r="B90" s="515"/>
      <c r="C90" s="261" t="s">
        <v>596</v>
      </c>
      <c r="D90" s="261" t="s">
        <v>597</v>
      </c>
      <c r="E90" s="260"/>
      <c r="F90" s="261" t="s">
        <v>598</v>
      </c>
      <c r="G90" s="261" t="s">
        <v>599</v>
      </c>
      <c r="H90" s="261" t="s">
        <v>600</v>
      </c>
      <c r="I90" s="261" t="s">
        <v>599</v>
      </c>
      <c r="J90" s="261" t="s">
        <v>601</v>
      </c>
      <c r="K90" s="261" t="s">
        <v>602</v>
      </c>
      <c r="L90" s="261" t="s">
        <v>603</v>
      </c>
      <c r="M90" s="260" t="s">
        <v>300</v>
      </c>
      <c r="N90" s="261" t="s">
        <v>604</v>
      </c>
      <c r="O90" s="261" t="s">
        <v>605</v>
      </c>
      <c r="P90" s="261" t="s">
        <v>601</v>
      </c>
      <c r="Q90" s="261" t="s">
        <v>606</v>
      </c>
      <c r="R90" s="260" t="s">
        <v>300</v>
      </c>
    </row>
    <row r="91" spans="1:18" s="48" customFormat="1" ht="27" thickBot="1" x14ac:dyDescent="0.3">
      <c r="A91" s="515"/>
      <c r="B91" s="515"/>
      <c r="C91" s="261" t="s">
        <v>607</v>
      </c>
      <c r="D91" s="261" t="s">
        <v>608</v>
      </c>
      <c r="E91" s="260"/>
      <c r="F91" s="261" t="s">
        <v>609</v>
      </c>
      <c r="G91" s="261" t="s">
        <v>610</v>
      </c>
      <c r="H91" s="261" t="s">
        <v>611</v>
      </c>
      <c r="I91" s="261" t="s">
        <v>612</v>
      </c>
      <c r="J91" s="261" t="s">
        <v>613</v>
      </c>
      <c r="K91" s="261" t="s">
        <v>614</v>
      </c>
      <c r="L91" s="261" t="s">
        <v>615</v>
      </c>
      <c r="M91" s="260" t="s">
        <v>300</v>
      </c>
      <c r="N91" s="261" t="s">
        <v>616</v>
      </c>
      <c r="O91" s="261" t="s">
        <v>617</v>
      </c>
      <c r="P91" s="261" t="s">
        <v>613</v>
      </c>
      <c r="Q91" s="261" t="s">
        <v>618</v>
      </c>
      <c r="R91" s="260" t="s">
        <v>300</v>
      </c>
    </row>
    <row r="92" spans="1:18" s="48" customFormat="1" ht="27" thickBot="1" x14ac:dyDescent="0.3">
      <c r="A92" s="515"/>
      <c r="B92" s="515"/>
      <c r="C92" s="261" t="s">
        <v>619</v>
      </c>
      <c r="D92" s="261" t="s">
        <v>620</v>
      </c>
      <c r="E92" s="260"/>
      <c r="F92" s="261" t="s">
        <v>621</v>
      </c>
      <c r="G92" s="261" t="s">
        <v>622</v>
      </c>
      <c r="H92" s="261" t="s">
        <v>623</v>
      </c>
      <c r="I92" s="261" t="s">
        <v>624</v>
      </c>
      <c r="J92" s="261" t="s">
        <v>625</v>
      </c>
      <c r="K92" s="260"/>
      <c r="L92" s="261" t="s">
        <v>626</v>
      </c>
      <c r="M92" s="260" t="s">
        <v>300</v>
      </c>
      <c r="N92" s="261" t="s">
        <v>627</v>
      </c>
      <c r="O92" s="261" t="s">
        <v>628</v>
      </c>
      <c r="P92" s="261" t="s">
        <v>625</v>
      </c>
      <c r="Q92" s="260"/>
      <c r="R92" s="260" t="s">
        <v>300</v>
      </c>
    </row>
    <row r="93" spans="1:18" s="48" customFormat="1" ht="27" thickBot="1" x14ac:dyDescent="0.3">
      <c r="A93" s="515"/>
      <c r="B93" s="515"/>
      <c r="C93" s="260" t="s">
        <v>629</v>
      </c>
      <c r="D93" s="260" t="s">
        <v>630</v>
      </c>
      <c r="E93" s="260"/>
      <c r="F93" s="260" t="s">
        <v>631</v>
      </c>
      <c r="G93" s="260"/>
      <c r="H93" s="260" t="s">
        <v>632</v>
      </c>
      <c r="I93" s="260"/>
      <c r="J93" s="260"/>
      <c r="K93" s="260"/>
      <c r="L93" s="261" t="s">
        <v>633</v>
      </c>
      <c r="M93" s="260" t="s">
        <v>300</v>
      </c>
      <c r="N93" s="261" t="s">
        <v>634</v>
      </c>
      <c r="O93" s="261" t="s">
        <v>635</v>
      </c>
      <c r="P93" s="260"/>
      <c r="Q93" s="260"/>
      <c r="R93" s="260" t="s">
        <v>300</v>
      </c>
    </row>
    <row r="94" spans="1:18" s="173" customFormat="1" ht="13.8" thickBot="1" x14ac:dyDescent="0.3">
      <c r="A94" s="188">
        <v>4</v>
      </c>
      <c r="B94" s="190" t="s">
        <v>636</v>
      </c>
      <c r="C94" s="259" t="s">
        <v>269</v>
      </c>
      <c r="D94" s="259">
        <v>1</v>
      </c>
      <c r="E94" s="259" t="s">
        <v>637</v>
      </c>
      <c r="F94" s="259" t="s">
        <v>97</v>
      </c>
      <c r="G94" s="259" t="s">
        <v>269</v>
      </c>
      <c r="H94" s="259" t="s">
        <v>306</v>
      </c>
      <c r="I94" s="259" t="s">
        <v>269</v>
      </c>
      <c r="J94" s="259" t="s">
        <v>295</v>
      </c>
      <c r="K94" s="259">
        <v>1</v>
      </c>
      <c r="L94" s="259" t="s">
        <v>258</v>
      </c>
      <c r="M94" s="259" t="s">
        <v>300</v>
      </c>
      <c r="N94" s="259" t="s">
        <v>638</v>
      </c>
      <c r="O94" s="259" t="s">
        <v>639</v>
      </c>
      <c r="P94" s="259" t="s">
        <v>304</v>
      </c>
      <c r="Q94" s="259" t="s">
        <v>583</v>
      </c>
      <c r="R94" s="259" t="s">
        <v>300</v>
      </c>
    </row>
    <row r="95" spans="1:18" s="173" customFormat="1" ht="13.8" thickBot="1" x14ac:dyDescent="0.3">
      <c r="A95" s="188">
        <v>5</v>
      </c>
      <c r="B95" s="190" t="s">
        <v>380</v>
      </c>
      <c r="C95" s="259">
        <v>7</v>
      </c>
      <c r="D95" s="259">
        <v>9</v>
      </c>
      <c r="E95" s="259">
        <v>6</v>
      </c>
      <c r="F95" s="259" t="s">
        <v>97</v>
      </c>
      <c r="G95" s="259">
        <v>1</v>
      </c>
      <c r="H95" s="259" t="s">
        <v>97</v>
      </c>
      <c r="I95" s="259">
        <v>2</v>
      </c>
      <c r="J95" s="259" t="s">
        <v>295</v>
      </c>
      <c r="K95" s="259"/>
      <c r="L95" s="259" t="s">
        <v>640</v>
      </c>
      <c r="M95" s="259" t="s">
        <v>300</v>
      </c>
      <c r="N95" s="259" t="s">
        <v>641</v>
      </c>
      <c r="O95" s="259" t="s">
        <v>253</v>
      </c>
      <c r="P95" s="259" t="s">
        <v>295</v>
      </c>
      <c r="Q95" s="259" t="s">
        <v>642</v>
      </c>
      <c r="R95" s="259" t="s">
        <v>300</v>
      </c>
    </row>
    <row r="96" spans="1:18" s="173" customFormat="1" ht="13.8" thickBot="1" x14ac:dyDescent="0.3">
      <c r="A96" s="188">
        <v>6</v>
      </c>
      <c r="B96" s="190" t="s">
        <v>643</v>
      </c>
      <c r="C96" s="259">
        <v>13</v>
      </c>
      <c r="D96" s="259" t="s">
        <v>296</v>
      </c>
      <c r="E96" s="259">
        <v>10</v>
      </c>
      <c r="F96" s="259">
        <v>8</v>
      </c>
      <c r="G96" s="259">
        <v>9</v>
      </c>
      <c r="H96" s="259">
        <v>13</v>
      </c>
      <c r="I96" s="259">
        <v>11</v>
      </c>
      <c r="J96" s="259" t="s">
        <v>299</v>
      </c>
      <c r="K96" s="259"/>
      <c r="L96" s="259" t="s">
        <v>644</v>
      </c>
      <c r="M96" s="259" t="s">
        <v>300</v>
      </c>
      <c r="N96" s="259" t="s">
        <v>645</v>
      </c>
      <c r="O96" s="259" t="s">
        <v>253</v>
      </c>
      <c r="P96" s="259" t="s">
        <v>295</v>
      </c>
      <c r="Q96" s="259" t="s">
        <v>646</v>
      </c>
      <c r="R96" s="259" t="s">
        <v>300</v>
      </c>
    </row>
    <row r="97" spans="1:18" s="173" customFormat="1" ht="13.8" thickBot="1" x14ac:dyDescent="0.3">
      <c r="A97" s="188"/>
      <c r="B97" s="192" t="s">
        <v>382</v>
      </c>
      <c r="C97" s="259">
        <v>13</v>
      </c>
      <c r="D97" s="259">
        <v>18</v>
      </c>
      <c r="E97" s="259">
        <v>10</v>
      </c>
      <c r="F97" s="259">
        <v>9</v>
      </c>
      <c r="G97" s="259">
        <v>10</v>
      </c>
      <c r="H97" s="259">
        <v>13</v>
      </c>
      <c r="I97" s="259">
        <v>12</v>
      </c>
      <c r="J97" s="259" t="s">
        <v>295</v>
      </c>
      <c r="K97" s="259">
        <v>13</v>
      </c>
      <c r="L97" s="259" t="s">
        <v>644</v>
      </c>
      <c r="M97" s="259" t="s">
        <v>300</v>
      </c>
      <c r="N97" s="259" t="s">
        <v>645</v>
      </c>
      <c r="O97" s="259" t="s">
        <v>253</v>
      </c>
      <c r="P97" s="259" t="s">
        <v>295</v>
      </c>
      <c r="Q97" s="259" t="s">
        <v>647</v>
      </c>
      <c r="R97" s="259" t="s">
        <v>300</v>
      </c>
    </row>
    <row r="98" spans="1:18" s="173" customFormat="1" ht="13.8" thickBot="1" x14ac:dyDescent="0.3">
      <c r="A98" s="188"/>
      <c r="B98" s="192" t="s">
        <v>648</v>
      </c>
      <c r="C98" s="259">
        <v>13</v>
      </c>
      <c r="D98" s="259">
        <v>22</v>
      </c>
      <c r="E98" s="259">
        <v>10</v>
      </c>
      <c r="F98" s="259">
        <v>9</v>
      </c>
      <c r="G98" s="259">
        <v>9</v>
      </c>
      <c r="H98" s="259">
        <v>13</v>
      </c>
      <c r="I98" s="259">
        <v>13</v>
      </c>
      <c r="J98" s="259" t="s">
        <v>295</v>
      </c>
      <c r="K98" s="259">
        <v>13</v>
      </c>
      <c r="L98" s="259" t="s">
        <v>644</v>
      </c>
      <c r="M98" s="259" t="s">
        <v>300</v>
      </c>
      <c r="N98" s="259" t="s">
        <v>645</v>
      </c>
      <c r="O98" s="259" t="s">
        <v>253</v>
      </c>
      <c r="P98" s="259" t="s">
        <v>295</v>
      </c>
      <c r="Q98" s="259" t="s">
        <v>647</v>
      </c>
      <c r="R98" s="259" t="s">
        <v>300</v>
      </c>
    </row>
    <row r="99" spans="1:18" s="173" customFormat="1" ht="27" thickBot="1" x14ac:dyDescent="0.3">
      <c r="A99" s="188"/>
      <c r="B99" s="192" t="s">
        <v>649</v>
      </c>
      <c r="C99" s="259">
        <v>13</v>
      </c>
      <c r="D99" s="259" t="s">
        <v>650</v>
      </c>
      <c r="E99" s="259">
        <v>10</v>
      </c>
      <c r="F99" s="259">
        <v>8</v>
      </c>
      <c r="G99" s="259">
        <v>9</v>
      </c>
      <c r="H99" s="259">
        <v>13</v>
      </c>
      <c r="I99" s="259">
        <v>13</v>
      </c>
      <c r="J99" s="259" t="s">
        <v>295</v>
      </c>
      <c r="K99" s="259">
        <v>15</v>
      </c>
      <c r="L99" s="259" t="s">
        <v>644</v>
      </c>
      <c r="M99" s="259" t="s">
        <v>300</v>
      </c>
      <c r="N99" s="259" t="s">
        <v>645</v>
      </c>
      <c r="O99" s="259" t="s">
        <v>296</v>
      </c>
      <c r="P99" s="259" t="s">
        <v>295</v>
      </c>
      <c r="Q99" s="259" t="s">
        <v>647</v>
      </c>
      <c r="R99" s="259" t="s">
        <v>300</v>
      </c>
    </row>
    <row r="100" spans="1:18" s="48" customFormat="1" ht="27" thickBot="1" x14ac:dyDescent="0.3">
      <c r="A100" s="305">
        <v>7</v>
      </c>
      <c r="B100" s="260" t="s">
        <v>651</v>
      </c>
      <c r="C100" s="260"/>
      <c r="D100" s="260" t="s">
        <v>652</v>
      </c>
      <c r="E100" s="260"/>
      <c r="F100" s="260"/>
      <c r="G100" s="260" t="s">
        <v>653</v>
      </c>
      <c r="H100" s="260"/>
      <c r="I100" s="260"/>
      <c r="J100" s="260"/>
      <c r="K100" s="260"/>
      <c r="L100" s="260"/>
      <c r="M100" s="260"/>
      <c r="N100" s="260"/>
      <c r="O100" s="260" t="s">
        <v>654</v>
      </c>
      <c r="P100" s="260"/>
      <c r="Q100" s="260"/>
      <c r="R100" s="260"/>
    </row>
    <row r="101" spans="1:18" s="265" customFormat="1" ht="13.8" thickBot="1" x14ac:dyDescent="0.3">
      <c r="A101" s="279"/>
      <c r="B101" s="280"/>
      <c r="C101" s="206"/>
      <c r="D101" s="206"/>
      <c r="E101" s="206"/>
      <c r="F101" s="206"/>
      <c r="G101" s="206"/>
      <c r="H101" s="206"/>
      <c r="I101" s="206"/>
      <c r="J101" s="206"/>
      <c r="K101" s="206"/>
      <c r="L101" s="281"/>
      <c r="M101" s="281"/>
      <c r="N101" s="281"/>
      <c r="O101" s="281"/>
      <c r="P101" s="281"/>
    </row>
    <row r="102" spans="1:18" s="173" customFormat="1" ht="13.8" thickBot="1" x14ac:dyDescent="0.3">
      <c r="B102" s="283" t="s">
        <v>27</v>
      </c>
    </row>
    <row r="103" spans="1:18" s="265" customFormat="1" ht="13.8" thickBot="1" x14ac:dyDescent="0.3">
      <c r="A103" s="252" t="s">
        <v>0</v>
      </c>
      <c r="B103" s="284" t="s">
        <v>175</v>
      </c>
      <c r="C103" s="285" t="s">
        <v>12</v>
      </c>
      <c r="D103" s="285" t="s">
        <v>14</v>
      </c>
      <c r="E103" s="285" t="s">
        <v>13</v>
      </c>
      <c r="F103" s="285" t="s">
        <v>9</v>
      </c>
      <c r="G103" s="285" t="s">
        <v>164</v>
      </c>
      <c r="H103" s="285" t="s">
        <v>2</v>
      </c>
      <c r="I103" s="285" t="s">
        <v>3</v>
      </c>
      <c r="J103" s="285" t="s">
        <v>148</v>
      </c>
      <c r="K103" s="285" t="s">
        <v>96</v>
      </c>
      <c r="L103" s="285" t="s">
        <v>4</v>
      </c>
      <c r="M103" s="285" t="s">
        <v>5</v>
      </c>
      <c r="N103" s="285" t="s">
        <v>6</v>
      </c>
      <c r="O103" s="285" t="s">
        <v>7</v>
      </c>
      <c r="P103" s="286" t="s">
        <v>8</v>
      </c>
    </row>
    <row r="104" spans="1:18" s="265" customFormat="1" ht="53.4" thickBot="1" x14ac:dyDescent="0.3">
      <c r="A104" s="268">
        <v>1</v>
      </c>
      <c r="B104" s="269" t="s">
        <v>357</v>
      </c>
      <c r="C104" s="270" t="s">
        <v>655</v>
      </c>
      <c r="D104" s="270" t="s">
        <v>656</v>
      </c>
      <c r="E104" s="270" t="s">
        <v>657</v>
      </c>
      <c r="F104" s="270" t="s">
        <v>658</v>
      </c>
      <c r="G104" s="270" t="s">
        <v>659</v>
      </c>
      <c r="H104" s="270" t="s">
        <v>660</v>
      </c>
      <c r="I104" s="270" t="s">
        <v>661</v>
      </c>
      <c r="J104" s="270" t="s">
        <v>662</v>
      </c>
      <c r="K104" s="270" t="s">
        <v>663</v>
      </c>
      <c r="L104" s="270" t="s">
        <v>664</v>
      </c>
      <c r="M104" s="270" t="s">
        <v>665</v>
      </c>
      <c r="N104" s="271" t="s">
        <v>703</v>
      </c>
      <c r="O104" s="270" t="s">
        <v>660</v>
      </c>
      <c r="P104" s="270" t="s">
        <v>660</v>
      </c>
    </row>
    <row r="105" spans="1:18" s="265" customFormat="1" ht="53.4" thickBot="1" x14ac:dyDescent="0.3">
      <c r="A105" s="268">
        <v>2</v>
      </c>
      <c r="B105" s="273" t="s">
        <v>359</v>
      </c>
      <c r="C105" s="270" t="s">
        <v>666</v>
      </c>
      <c r="D105" s="270" t="s">
        <v>270</v>
      </c>
      <c r="E105" s="270" t="s">
        <v>667</v>
      </c>
      <c r="F105" s="270" t="s">
        <v>258</v>
      </c>
      <c r="G105" s="270" t="s">
        <v>668</v>
      </c>
      <c r="H105" s="270" t="s">
        <v>669</v>
      </c>
      <c r="I105" s="270" t="s">
        <v>270</v>
      </c>
      <c r="J105" s="270" t="s">
        <v>258</v>
      </c>
      <c r="K105" s="270" t="s">
        <v>670</v>
      </c>
      <c r="L105" s="270" t="s">
        <v>670</v>
      </c>
      <c r="M105" s="270" t="s">
        <v>269</v>
      </c>
      <c r="N105" s="270" t="s">
        <v>671</v>
      </c>
      <c r="O105" s="270"/>
      <c r="P105" s="270"/>
    </row>
    <row r="106" spans="1:18" s="265" customFormat="1" ht="13.8" thickBot="1" x14ac:dyDescent="0.3">
      <c r="A106" s="268">
        <v>3</v>
      </c>
      <c r="B106" s="274" t="s">
        <v>371</v>
      </c>
      <c r="C106" s="270">
        <v>2</v>
      </c>
      <c r="D106" s="270">
        <v>2</v>
      </c>
      <c r="E106" s="270">
        <v>3</v>
      </c>
      <c r="F106" s="270">
        <v>1</v>
      </c>
      <c r="G106" s="270" t="s">
        <v>672</v>
      </c>
      <c r="H106" s="270" t="s">
        <v>537</v>
      </c>
      <c r="I106" s="270"/>
      <c r="J106" s="270" t="s">
        <v>673</v>
      </c>
      <c r="K106" s="270">
        <v>3</v>
      </c>
      <c r="L106" s="270">
        <v>1</v>
      </c>
      <c r="M106" s="270" t="s">
        <v>590</v>
      </c>
      <c r="N106" s="271" t="s">
        <v>704</v>
      </c>
      <c r="O106" s="270"/>
      <c r="P106" s="270" t="s">
        <v>674</v>
      </c>
    </row>
    <row r="107" spans="1:18" s="265" customFormat="1" ht="13.8" thickBot="1" x14ac:dyDescent="0.3">
      <c r="A107" s="268"/>
      <c r="B107" s="275" t="s">
        <v>372</v>
      </c>
      <c r="C107" s="270">
        <v>6</v>
      </c>
      <c r="D107" s="270">
        <v>9</v>
      </c>
      <c r="E107" s="270">
        <v>10</v>
      </c>
      <c r="F107" s="270" t="s">
        <v>675</v>
      </c>
      <c r="G107" s="270">
        <v>7</v>
      </c>
      <c r="H107" s="270">
        <v>10</v>
      </c>
      <c r="I107" s="270">
        <v>10</v>
      </c>
      <c r="J107" s="270">
        <v>6</v>
      </c>
      <c r="K107" s="270">
        <v>7</v>
      </c>
      <c r="L107" s="270">
        <v>7</v>
      </c>
      <c r="M107" s="270">
        <v>9</v>
      </c>
      <c r="N107" s="276" t="s">
        <v>705</v>
      </c>
      <c r="O107" s="270">
        <v>5</v>
      </c>
      <c r="P107" s="270">
        <v>3</v>
      </c>
    </row>
    <row r="108" spans="1:18" s="265" customFormat="1" ht="19.5" customHeight="1" thickBot="1" x14ac:dyDescent="0.3">
      <c r="A108" s="268"/>
      <c r="B108" s="275" t="s">
        <v>373</v>
      </c>
      <c r="C108" s="270">
        <v>10</v>
      </c>
      <c r="D108" s="270">
        <v>5</v>
      </c>
      <c r="E108" s="270">
        <v>7</v>
      </c>
      <c r="F108" s="270" t="s">
        <v>676</v>
      </c>
      <c r="G108" s="270">
        <v>3</v>
      </c>
      <c r="H108" s="270">
        <v>7</v>
      </c>
      <c r="I108" s="270">
        <v>10</v>
      </c>
      <c r="J108" s="270">
        <v>4</v>
      </c>
      <c r="K108" s="270">
        <v>8</v>
      </c>
      <c r="L108" s="270">
        <v>6</v>
      </c>
      <c r="M108" s="270">
        <v>8</v>
      </c>
      <c r="N108" s="276" t="s">
        <v>706</v>
      </c>
      <c r="O108" s="270">
        <v>5</v>
      </c>
      <c r="P108" s="270">
        <v>10</v>
      </c>
    </row>
    <row r="109" spans="1:18" s="265" customFormat="1" ht="15.75" customHeight="1" thickBot="1" x14ac:dyDescent="0.3">
      <c r="A109" s="268"/>
      <c r="B109" s="275" t="s">
        <v>374</v>
      </c>
      <c r="C109" s="270">
        <v>4</v>
      </c>
      <c r="D109" s="270">
        <v>3</v>
      </c>
      <c r="E109" s="270"/>
      <c r="F109" s="270"/>
      <c r="G109" s="270"/>
      <c r="H109" s="270">
        <v>10</v>
      </c>
      <c r="I109" s="270">
        <v>7</v>
      </c>
      <c r="J109" s="270">
        <v>8</v>
      </c>
      <c r="K109" s="270">
        <v>12</v>
      </c>
      <c r="L109" s="270">
        <v>8</v>
      </c>
      <c r="M109" s="270">
        <v>10</v>
      </c>
      <c r="N109" s="276" t="s">
        <v>707</v>
      </c>
      <c r="O109" s="270">
        <v>3</v>
      </c>
      <c r="P109" s="270">
        <v>3</v>
      </c>
    </row>
    <row r="110" spans="1:18" s="265" customFormat="1" ht="13.8" thickBot="1" x14ac:dyDescent="0.3">
      <c r="A110" s="268"/>
      <c r="B110" s="275" t="s">
        <v>375</v>
      </c>
      <c r="C110" s="270"/>
      <c r="D110" s="270"/>
      <c r="E110" s="270"/>
      <c r="F110" s="270"/>
      <c r="G110" s="270"/>
      <c r="H110" s="270"/>
      <c r="I110" s="270"/>
      <c r="J110" s="270"/>
      <c r="K110" s="270"/>
      <c r="L110" s="270"/>
      <c r="M110" s="270"/>
      <c r="N110" s="272"/>
      <c r="O110" s="270"/>
      <c r="P110" s="270"/>
    </row>
    <row r="111" spans="1:18" s="265" customFormat="1" ht="15" customHeight="1" thickBot="1" x14ac:dyDescent="0.3">
      <c r="A111" s="268"/>
      <c r="B111" s="275" t="s">
        <v>376</v>
      </c>
      <c r="C111" s="270">
        <v>6</v>
      </c>
      <c r="D111" s="270" t="s">
        <v>677</v>
      </c>
      <c r="E111" s="270">
        <v>8</v>
      </c>
      <c r="F111" s="270" t="s">
        <v>678</v>
      </c>
      <c r="G111" s="270" t="s">
        <v>708</v>
      </c>
      <c r="H111" s="270">
        <v>7</v>
      </c>
      <c r="I111" s="270">
        <v>3</v>
      </c>
      <c r="J111" s="270">
        <v>2</v>
      </c>
      <c r="K111" s="270" t="s">
        <v>679</v>
      </c>
      <c r="L111" s="270"/>
      <c r="M111" s="270" t="s">
        <v>680</v>
      </c>
      <c r="N111" s="276" t="s">
        <v>709</v>
      </c>
      <c r="O111" s="270" t="s">
        <v>681</v>
      </c>
      <c r="P111" s="270" t="s">
        <v>682</v>
      </c>
    </row>
    <row r="112" spans="1:18" s="265" customFormat="1" ht="13.8" thickBot="1" x14ac:dyDescent="0.3">
      <c r="A112" s="268"/>
      <c r="B112" s="275" t="s">
        <v>377</v>
      </c>
      <c r="C112" s="270"/>
      <c r="D112" s="270"/>
      <c r="E112" s="270">
        <v>1</v>
      </c>
      <c r="F112" s="270"/>
      <c r="G112" s="270" t="s">
        <v>683</v>
      </c>
      <c r="H112" s="270" t="s">
        <v>684</v>
      </c>
      <c r="I112" s="270" t="s">
        <v>269</v>
      </c>
      <c r="J112" s="270">
        <v>1</v>
      </c>
      <c r="K112" s="270" t="s">
        <v>683</v>
      </c>
      <c r="L112" s="270"/>
      <c r="M112" s="270"/>
      <c r="N112" s="276" t="s">
        <v>710</v>
      </c>
      <c r="O112" s="270"/>
      <c r="P112" s="270"/>
    </row>
    <row r="113" spans="1:16" s="265" customFormat="1" ht="13.8" thickBot="1" x14ac:dyDescent="0.3">
      <c r="A113" s="268"/>
      <c r="B113" s="275" t="s">
        <v>378</v>
      </c>
      <c r="C113" s="270" t="s">
        <v>269</v>
      </c>
      <c r="D113" s="270" t="s">
        <v>269</v>
      </c>
      <c r="E113" s="270"/>
      <c r="F113" s="270"/>
      <c r="G113" s="270"/>
      <c r="H113" s="270"/>
      <c r="I113" s="270" t="s">
        <v>269</v>
      </c>
      <c r="J113" s="270"/>
      <c r="K113" s="270"/>
      <c r="L113" s="270"/>
      <c r="M113" s="270"/>
      <c r="N113" s="272"/>
      <c r="O113" s="270"/>
      <c r="P113" s="270"/>
    </row>
    <row r="114" spans="1:16" s="265" customFormat="1" ht="27" thickBot="1" x14ac:dyDescent="0.3">
      <c r="A114" s="268"/>
      <c r="B114" s="275" t="s">
        <v>379</v>
      </c>
      <c r="C114" s="270">
        <v>1</v>
      </c>
      <c r="D114" s="270">
        <v>1</v>
      </c>
      <c r="E114" s="270">
        <v>3</v>
      </c>
      <c r="F114" s="270" t="s">
        <v>685</v>
      </c>
      <c r="G114" s="270" t="s">
        <v>686</v>
      </c>
      <c r="H114" s="270" t="s">
        <v>687</v>
      </c>
      <c r="I114" s="270">
        <v>1</v>
      </c>
      <c r="J114" s="270">
        <v>1</v>
      </c>
      <c r="K114" s="270">
        <v>1</v>
      </c>
      <c r="L114" s="270">
        <v>2</v>
      </c>
      <c r="M114" s="270" t="s">
        <v>688</v>
      </c>
      <c r="N114" s="276" t="s">
        <v>711</v>
      </c>
      <c r="O114" s="270">
        <v>1</v>
      </c>
      <c r="P114" s="270">
        <v>1</v>
      </c>
    </row>
    <row r="115" spans="1:16" s="265" customFormat="1" ht="13.8" thickBot="1" x14ac:dyDescent="0.3">
      <c r="A115" s="268">
        <v>4</v>
      </c>
      <c r="B115" s="268" t="s">
        <v>202</v>
      </c>
      <c r="C115" s="270">
        <v>1</v>
      </c>
      <c r="D115" s="270" t="s">
        <v>689</v>
      </c>
      <c r="E115" s="270">
        <v>1</v>
      </c>
      <c r="F115" s="270">
        <v>1</v>
      </c>
      <c r="G115" s="270"/>
      <c r="H115" s="270">
        <v>1</v>
      </c>
      <c r="I115" s="270">
        <v>1</v>
      </c>
      <c r="J115" s="270"/>
      <c r="K115" s="270">
        <v>1</v>
      </c>
      <c r="L115" s="270" t="s">
        <v>269</v>
      </c>
      <c r="M115" s="270">
        <v>1</v>
      </c>
      <c r="N115" s="272">
        <v>1</v>
      </c>
      <c r="O115" s="270">
        <v>1</v>
      </c>
      <c r="P115" s="270">
        <v>1</v>
      </c>
    </row>
    <row r="116" spans="1:16" s="265" customFormat="1" ht="13.8" thickBot="1" x14ac:dyDescent="0.3">
      <c r="A116" s="268">
        <v>5</v>
      </c>
      <c r="B116" s="268" t="s">
        <v>380</v>
      </c>
      <c r="C116" s="270">
        <v>6</v>
      </c>
      <c r="D116" s="270">
        <v>6</v>
      </c>
      <c r="E116" s="270"/>
      <c r="F116" s="270" t="s">
        <v>690</v>
      </c>
      <c r="G116" s="270"/>
      <c r="H116" s="270">
        <v>6</v>
      </c>
      <c r="I116" s="270">
        <v>7</v>
      </c>
      <c r="J116" s="270">
        <v>1</v>
      </c>
      <c r="K116" s="270"/>
      <c r="L116" s="270"/>
      <c r="M116" s="270">
        <v>6</v>
      </c>
      <c r="N116" s="276" t="s">
        <v>691</v>
      </c>
      <c r="O116" s="270">
        <v>4</v>
      </c>
      <c r="P116" s="270">
        <v>2</v>
      </c>
    </row>
    <row r="117" spans="1:16" s="265" customFormat="1" ht="13.8" thickBot="1" x14ac:dyDescent="0.3">
      <c r="A117" s="268">
        <v>6</v>
      </c>
      <c r="B117" s="268" t="s">
        <v>381</v>
      </c>
      <c r="C117" s="270"/>
      <c r="D117" s="270"/>
      <c r="E117" s="270"/>
      <c r="F117" s="270"/>
      <c r="G117" s="270"/>
      <c r="H117" s="270"/>
      <c r="I117" s="270"/>
      <c r="J117" s="270"/>
      <c r="K117" s="270"/>
      <c r="L117" s="270"/>
      <c r="M117" s="270"/>
      <c r="N117" s="272"/>
      <c r="O117" s="270"/>
      <c r="P117" s="270"/>
    </row>
    <row r="118" spans="1:16" s="265" customFormat="1" ht="13.8" thickBot="1" x14ac:dyDescent="0.3">
      <c r="A118" s="268"/>
      <c r="B118" s="275" t="s">
        <v>382</v>
      </c>
      <c r="C118" s="270">
        <v>9</v>
      </c>
      <c r="D118" s="270">
        <v>14</v>
      </c>
      <c r="E118" s="270">
        <v>10</v>
      </c>
      <c r="F118" s="270">
        <v>8</v>
      </c>
      <c r="G118" s="270" t="s">
        <v>269</v>
      </c>
      <c r="H118" s="270">
        <v>13</v>
      </c>
      <c r="I118" s="270">
        <v>9</v>
      </c>
      <c r="J118" s="270">
        <v>5</v>
      </c>
      <c r="K118" s="270">
        <v>10</v>
      </c>
      <c r="L118" s="270">
        <v>7</v>
      </c>
      <c r="M118" s="270">
        <v>8</v>
      </c>
      <c r="N118" s="271" t="s">
        <v>692</v>
      </c>
      <c r="O118" s="270">
        <v>10</v>
      </c>
      <c r="P118" s="270">
        <v>7</v>
      </c>
    </row>
    <row r="119" spans="1:16" s="265" customFormat="1" ht="13.8" thickBot="1" x14ac:dyDescent="0.3">
      <c r="A119" s="268"/>
      <c r="B119" s="275" t="s">
        <v>383</v>
      </c>
      <c r="C119" s="270">
        <v>10</v>
      </c>
      <c r="D119" s="270">
        <v>14</v>
      </c>
      <c r="E119" s="270">
        <v>11</v>
      </c>
      <c r="F119" s="270">
        <v>8</v>
      </c>
      <c r="G119" s="270" t="s">
        <v>269</v>
      </c>
      <c r="H119" s="270">
        <v>15</v>
      </c>
      <c r="I119" s="270">
        <v>9</v>
      </c>
      <c r="J119" s="270" t="s">
        <v>693</v>
      </c>
      <c r="K119" s="270">
        <v>10</v>
      </c>
      <c r="L119" s="270">
        <v>9</v>
      </c>
      <c r="M119" s="270">
        <v>8</v>
      </c>
      <c r="N119" s="270" t="s">
        <v>694</v>
      </c>
      <c r="O119" s="270">
        <v>12</v>
      </c>
      <c r="P119" s="270">
        <v>8</v>
      </c>
    </row>
    <row r="120" spans="1:16" s="265" customFormat="1" ht="13.8" thickBot="1" x14ac:dyDescent="0.3">
      <c r="A120" s="268"/>
      <c r="B120" s="275" t="s">
        <v>384</v>
      </c>
      <c r="C120" s="270">
        <v>11</v>
      </c>
      <c r="D120" s="270">
        <v>14</v>
      </c>
      <c r="E120" s="270">
        <v>11</v>
      </c>
      <c r="F120" s="270">
        <v>8</v>
      </c>
      <c r="G120" s="270" t="s">
        <v>269</v>
      </c>
      <c r="H120" s="270">
        <v>13</v>
      </c>
      <c r="I120" s="270">
        <v>9</v>
      </c>
      <c r="J120" s="270">
        <v>5</v>
      </c>
      <c r="K120" s="270">
        <v>10</v>
      </c>
      <c r="L120" s="270">
        <v>7</v>
      </c>
      <c r="M120" s="270">
        <v>7</v>
      </c>
      <c r="N120" s="270" t="s">
        <v>694</v>
      </c>
      <c r="O120" s="270">
        <v>10</v>
      </c>
      <c r="P120" s="270">
        <v>7</v>
      </c>
    </row>
    <row r="121" spans="1:16" s="265" customFormat="1" ht="13.8" thickBot="1" x14ac:dyDescent="0.3">
      <c r="A121" s="268">
        <v>7</v>
      </c>
      <c r="B121" s="277" t="s">
        <v>385</v>
      </c>
      <c r="C121" s="270" t="s">
        <v>695</v>
      </c>
      <c r="D121" s="270" t="s">
        <v>269</v>
      </c>
      <c r="E121" s="270" t="s">
        <v>696</v>
      </c>
      <c r="F121" s="270"/>
      <c r="G121" s="270" t="s">
        <v>697</v>
      </c>
      <c r="H121" s="270" t="s">
        <v>698</v>
      </c>
      <c r="I121" s="270" t="s">
        <v>699</v>
      </c>
      <c r="J121" s="270" t="s">
        <v>700</v>
      </c>
      <c r="K121" s="270" t="s">
        <v>701</v>
      </c>
      <c r="L121" s="278" t="s">
        <v>702</v>
      </c>
      <c r="M121" s="278"/>
      <c r="N121" s="278"/>
      <c r="O121" s="270"/>
      <c r="P121" s="270"/>
    </row>
    <row r="122" spans="1:16" s="265" customFormat="1" ht="13.8" thickBot="1" x14ac:dyDescent="0.3">
      <c r="A122" s="279"/>
      <c r="B122" s="280"/>
      <c r="C122" s="206"/>
      <c r="D122" s="206"/>
      <c r="E122" s="206"/>
      <c r="F122" s="206"/>
      <c r="G122" s="206"/>
      <c r="H122" s="206"/>
      <c r="I122" s="206"/>
      <c r="J122" s="206"/>
      <c r="K122" s="206"/>
      <c r="L122" s="281"/>
      <c r="M122" s="281"/>
      <c r="N122" s="281"/>
      <c r="O122" s="281"/>
      <c r="P122" s="281"/>
    </row>
    <row r="123" spans="1:16" s="265" customFormat="1" ht="13.8" thickBot="1" x14ac:dyDescent="0.3">
      <c r="A123" s="173"/>
      <c r="B123" s="282" t="s">
        <v>132</v>
      </c>
      <c r="C123" s="173"/>
      <c r="D123" s="173"/>
      <c r="E123" s="173"/>
      <c r="F123" s="173"/>
      <c r="G123" s="173"/>
      <c r="H123" s="173"/>
      <c r="I123" s="173"/>
      <c r="J123" s="173"/>
      <c r="K123" s="173"/>
      <c r="L123" s="173"/>
      <c r="M123" s="173"/>
      <c r="N123" s="173"/>
      <c r="O123" s="173"/>
      <c r="P123" s="173"/>
    </row>
    <row r="124" spans="1:16" s="173" customFormat="1" ht="13.8" thickBot="1" x14ac:dyDescent="0.3">
      <c r="A124" s="358" t="s">
        <v>0</v>
      </c>
      <c r="B124" s="359" t="s">
        <v>175</v>
      </c>
      <c r="C124" s="360" t="s">
        <v>92</v>
      </c>
      <c r="D124" s="361" t="s">
        <v>93</v>
      </c>
      <c r="E124" s="361" t="s">
        <v>94</v>
      </c>
      <c r="F124" s="361" t="s">
        <v>95</v>
      </c>
    </row>
    <row r="125" spans="1:16" s="173" customFormat="1" ht="26.4" thickBot="1" x14ac:dyDescent="0.3">
      <c r="A125" s="268">
        <v>1</v>
      </c>
      <c r="B125" s="269" t="s">
        <v>357</v>
      </c>
      <c r="C125" s="362" t="s">
        <v>712</v>
      </c>
      <c r="D125" s="362" t="s">
        <v>712</v>
      </c>
      <c r="E125" s="362" t="s">
        <v>712</v>
      </c>
      <c r="F125" s="362" t="s">
        <v>712</v>
      </c>
    </row>
    <row r="126" spans="1:16" s="173" customFormat="1" ht="13.8" thickBot="1" x14ac:dyDescent="0.3">
      <c r="A126" s="268">
        <v>2</v>
      </c>
      <c r="B126" s="269" t="s">
        <v>359</v>
      </c>
      <c r="C126" s="362" t="s">
        <v>295</v>
      </c>
      <c r="D126" s="362" t="s">
        <v>295</v>
      </c>
      <c r="E126" s="362" t="s">
        <v>295</v>
      </c>
      <c r="F126" s="362" t="s">
        <v>295</v>
      </c>
    </row>
    <row r="127" spans="1:16" s="173" customFormat="1" ht="13.8" thickBot="1" x14ac:dyDescent="0.3">
      <c r="A127" s="268">
        <v>3</v>
      </c>
      <c r="B127" s="269" t="s">
        <v>371</v>
      </c>
      <c r="C127" s="362" t="s">
        <v>713</v>
      </c>
      <c r="D127" s="362" t="s">
        <v>714</v>
      </c>
      <c r="E127" s="362" t="s">
        <v>714</v>
      </c>
      <c r="F127" s="362" t="s">
        <v>714</v>
      </c>
    </row>
    <row r="128" spans="1:16" s="173" customFormat="1" ht="13.8" thickBot="1" x14ac:dyDescent="0.3">
      <c r="A128" s="268"/>
      <c r="B128" s="275" t="s">
        <v>372</v>
      </c>
      <c r="C128" s="362" t="s">
        <v>715</v>
      </c>
      <c r="D128" s="362" t="s">
        <v>716</v>
      </c>
      <c r="E128" s="362" t="s">
        <v>717</v>
      </c>
      <c r="F128" s="362" t="s">
        <v>718</v>
      </c>
    </row>
    <row r="129" spans="1:6" s="173" customFormat="1" ht="13.8" thickBot="1" x14ac:dyDescent="0.3">
      <c r="A129" s="268"/>
      <c r="B129" s="275" t="s">
        <v>373</v>
      </c>
      <c r="C129" s="362" t="s">
        <v>719</v>
      </c>
      <c r="D129" s="362" t="s">
        <v>716</v>
      </c>
      <c r="E129" s="362" t="s">
        <v>720</v>
      </c>
      <c r="F129" s="362" t="s">
        <v>721</v>
      </c>
    </row>
    <row r="130" spans="1:6" s="173" customFormat="1" ht="13.8" thickBot="1" x14ac:dyDescent="0.3">
      <c r="A130" s="268"/>
      <c r="B130" s="275" t="s">
        <v>374</v>
      </c>
      <c r="C130" s="362" t="s">
        <v>713</v>
      </c>
      <c r="D130" s="362" t="s">
        <v>714</v>
      </c>
      <c r="E130" s="362" t="s">
        <v>721</v>
      </c>
      <c r="F130" s="362" t="s">
        <v>722</v>
      </c>
    </row>
    <row r="131" spans="1:6" s="173" customFormat="1" ht="13.8" thickBot="1" x14ac:dyDescent="0.3">
      <c r="A131" s="268"/>
      <c r="B131" s="275" t="s">
        <v>375</v>
      </c>
      <c r="C131" s="362"/>
      <c r="D131" s="362"/>
      <c r="E131" s="362"/>
      <c r="F131" s="362"/>
    </row>
    <row r="132" spans="1:6" s="173" customFormat="1" ht="13.8" thickBot="1" x14ac:dyDescent="0.3">
      <c r="A132" s="268"/>
      <c r="B132" s="275" t="s">
        <v>376</v>
      </c>
      <c r="C132" s="362" t="s">
        <v>723</v>
      </c>
      <c r="D132" s="362" t="s">
        <v>724</v>
      </c>
      <c r="E132" s="362" t="s">
        <v>722</v>
      </c>
      <c r="F132" s="362" t="s">
        <v>722</v>
      </c>
    </row>
    <row r="133" spans="1:6" s="173" customFormat="1" ht="13.8" thickBot="1" x14ac:dyDescent="0.3">
      <c r="A133" s="268"/>
      <c r="B133" s="275" t="s">
        <v>377</v>
      </c>
      <c r="C133" s="362" t="s">
        <v>725</v>
      </c>
      <c r="D133" s="362" t="s">
        <v>726</v>
      </c>
      <c r="E133" s="362" t="s">
        <v>724</v>
      </c>
      <c r="F133" s="362" t="s">
        <v>724</v>
      </c>
    </row>
    <row r="134" spans="1:6" s="173" customFormat="1" ht="13.8" thickBot="1" x14ac:dyDescent="0.3">
      <c r="A134" s="268"/>
      <c r="B134" s="275" t="s">
        <v>378</v>
      </c>
      <c r="C134" s="362" t="s">
        <v>473</v>
      </c>
      <c r="D134" s="362" t="s">
        <v>497</v>
      </c>
      <c r="E134" s="362" t="s">
        <v>473</v>
      </c>
      <c r="F134" s="362" t="s">
        <v>497</v>
      </c>
    </row>
    <row r="135" spans="1:6" s="173" customFormat="1" ht="13.8" thickBot="1" x14ac:dyDescent="0.3">
      <c r="A135" s="268"/>
      <c r="B135" s="275" t="s">
        <v>379</v>
      </c>
      <c r="C135" s="362" t="s">
        <v>727</v>
      </c>
      <c r="D135" s="362" t="s">
        <v>724</v>
      </c>
      <c r="E135" s="362" t="s">
        <v>724</v>
      </c>
      <c r="F135" s="362" t="s">
        <v>728</v>
      </c>
    </row>
    <row r="136" spans="1:6" s="173" customFormat="1" ht="13.8" thickBot="1" x14ac:dyDescent="0.3">
      <c r="A136" s="268">
        <v>4</v>
      </c>
      <c r="B136" s="269" t="s">
        <v>202</v>
      </c>
      <c r="C136" s="362" t="s">
        <v>97</v>
      </c>
      <c r="D136" s="362" t="s">
        <v>97</v>
      </c>
      <c r="E136" s="362" t="s">
        <v>97</v>
      </c>
      <c r="F136" s="362" t="s">
        <v>97</v>
      </c>
    </row>
    <row r="137" spans="1:6" s="173" customFormat="1" ht="13.8" thickBot="1" x14ac:dyDescent="0.3">
      <c r="A137" s="268">
        <v>5</v>
      </c>
      <c r="B137" s="269" t="s">
        <v>380</v>
      </c>
      <c r="C137" s="362" t="s">
        <v>720</v>
      </c>
      <c r="D137" s="362" t="s">
        <v>729</v>
      </c>
      <c r="E137" s="362" t="s">
        <v>720</v>
      </c>
      <c r="F137" s="362" t="s">
        <v>718</v>
      </c>
    </row>
    <row r="138" spans="1:6" s="173" customFormat="1" ht="13.8" thickBot="1" x14ac:dyDescent="0.3">
      <c r="A138" s="268">
        <v>6</v>
      </c>
      <c r="B138" s="269" t="s">
        <v>381</v>
      </c>
      <c r="C138" s="362"/>
      <c r="D138" s="362"/>
      <c r="E138" s="362"/>
      <c r="F138" s="362"/>
    </row>
    <row r="139" spans="1:6" s="173" customFormat="1" ht="13.8" thickBot="1" x14ac:dyDescent="0.3">
      <c r="A139" s="268"/>
      <c r="B139" s="275" t="s">
        <v>382</v>
      </c>
      <c r="C139" s="362" t="s">
        <v>730</v>
      </c>
      <c r="D139" s="362" t="s">
        <v>731</v>
      </c>
      <c r="E139" s="362" t="s">
        <v>717</v>
      </c>
      <c r="F139" s="362" t="s">
        <v>720</v>
      </c>
    </row>
    <row r="140" spans="1:6" s="173" customFormat="1" ht="13.8" thickBot="1" x14ac:dyDescent="0.3">
      <c r="A140" s="268"/>
      <c r="B140" s="275" t="s">
        <v>383</v>
      </c>
      <c r="C140" s="362" t="s">
        <v>732</v>
      </c>
      <c r="D140" s="362" t="s">
        <v>733</v>
      </c>
      <c r="E140" s="362" t="s">
        <v>717</v>
      </c>
      <c r="F140" s="362" t="s">
        <v>720</v>
      </c>
    </row>
    <row r="141" spans="1:6" s="173" customFormat="1" ht="13.8" thickBot="1" x14ac:dyDescent="0.3">
      <c r="A141" s="268"/>
      <c r="B141" s="275" t="s">
        <v>384</v>
      </c>
      <c r="C141" s="362" t="s">
        <v>732</v>
      </c>
      <c r="D141" s="362" t="s">
        <v>731</v>
      </c>
      <c r="E141" s="362" t="s">
        <v>717</v>
      </c>
      <c r="F141" s="362" t="s">
        <v>720</v>
      </c>
    </row>
    <row r="142" spans="1:6" s="173" customFormat="1" ht="13.8" thickBot="1" x14ac:dyDescent="0.3">
      <c r="A142" s="268">
        <v>7</v>
      </c>
      <c r="B142" s="293" t="s">
        <v>385</v>
      </c>
      <c r="C142" s="362"/>
      <c r="D142" s="362"/>
      <c r="E142" s="362"/>
      <c r="F142" s="362"/>
    </row>
  </sheetData>
  <mergeCells count="2">
    <mergeCell ref="A89:A93"/>
    <mergeCell ref="B89:B93"/>
  </mergeCells>
  <phoneticPr fontId="3" type="noConversion"/>
  <conditionalFormatting sqref="J1">
    <cfRule type="containsText" dxfId="146" priority="116" stopIfTrue="1" operator="containsText" text="None">
      <formula>NOT(ISERROR(SEARCH("None",J1)))</formula>
    </cfRule>
    <cfRule type="containsText" dxfId="145" priority="117" stopIfTrue="1" operator="containsText" text="Exchange in use">
      <formula>NOT(ISERROR(SEARCH("Exchange in use",J1)))</formula>
    </cfRule>
    <cfRule type="containsText" dxfId="144" priority="118" stopIfTrue="1" operator="containsText" text="Exchange in Use-Issues">
      <formula>NOT(ISERROR(SEARCH("Exchange in Use-Issues",J1)))</formula>
    </cfRule>
    <cfRule type="containsText" dxfId="143" priority="119" stopIfTrue="1" operator="containsText" text="Domino in use-issues">
      <formula>NOT(ISERROR(SEARCH("Domino in use-issues",J1)))</formula>
    </cfRule>
  </conditionalFormatting>
  <conditionalFormatting sqref="C3:N3 C5:N13">
    <cfRule type="containsText" dxfId="142" priority="111" stopIfTrue="1" operator="containsText" text="Exchange in use">
      <formula>NOT(ISERROR(SEARCH("Exchange in use",C3)))</formula>
    </cfRule>
    <cfRule type="containsText" dxfId="141" priority="112" stopIfTrue="1" operator="containsText" text="Exchange in Use-Issues">
      <formula>NOT(ISERROR(SEARCH("Exchange in Use-Issues",C3)))</formula>
    </cfRule>
    <cfRule type="containsText" dxfId="140" priority="113" stopIfTrue="1" operator="containsText" text="Domino in use-issues">
      <formula>NOT(ISERROR(SEARCH("Domino in use-issues",C3)))</formula>
    </cfRule>
    <cfRule type="containsText" dxfId="139" priority="114" stopIfTrue="1" operator="containsText" text="Partial">
      <formula>NOT(ISERROR(SEARCH("Partial",C3)))</formula>
    </cfRule>
    <cfRule type="containsText" dxfId="138" priority="115" stopIfTrue="1" operator="containsText" text="Total">
      <formula>NOT(ISERROR(SEARCH("Total",C3)))</formula>
    </cfRule>
  </conditionalFormatting>
  <conditionalFormatting sqref="C14:N16">
    <cfRule type="containsText" dxfId="137" priority="106" stopIfTrue="1" operator="containsText" text="Exchange in use">
      <formula>NOT(ISERROR(SEARCH("Exchange in use",C14)))</formula>
    </cfRule>
    <cfRule type="containsText" dxfId="136" priority="107" stopIfTrue="1" operator="containsText" text="Exchange in Use-Issues">
      <formula>NOT(ISERROR(SEARCH("Exchange in Use-Issues",C14)))</formula>
    </cfRule>
    <cfRule type="containsText" dxfId="135" priority="108" stopIfTrue="1" operator="containsText" text="Domino in use-issues">
      <formula>NOT(ISERROR(SEARCH("Domino in use-issues",C14)))</formula>
    </cfRule>
    <cfRule type="containsText" dxfId="134" priority="109" stopIfTrue="1" operator="containsText" text="Partial">
      <formula>NOT(ISERROR(SEARCH("Partial",C14)))</formula>
    </cfRule>
    <cfRule type="containsText" dxfId="133" priority="110" stopIfTrue="1" operator="containsText" text="Total">
      <formula>NOT(ISERROR(SEARCH("Total",C14)))</formula>
    </cfRule>
  </conditionalFormatting>
  <conditionalFormatting sqref="C17:N19">
    <cfRule type="containsText" dxfId="132" priority="101" stopIfTrue="1" operator="containsText" text="Exchange in use">
      <formula>NOT(ISERROR(SEARCH("Exchange in use",C17)))</formula>
    </cfRule>
    <cfRule type="containsText" dxfId="131" priority="102" stopIfTrue="1" operator="containsText" text="Exchange in Use-Issues">
      <formula>NOT(ISERROR(SEARCH("Exchange in Use-Issues",C17)))</formula>
    </cfRule>
    <cfRule type="containsText" dxfId="130" priority="103" stopIfTrue="1" operator="containsText" text="Domino in use-issues">
      <formula>NOT(ISERROR(SEARCH("Domino in use-issues",C17)))</formula>
    </cfRule>
    <cfRule type="containsText" dxfId="129" priority="104" stopIfTrue="1" operator="containsText" text="Partial">
      <formula>NOT(ISERROR(SEARCH("Partial",C17)))</formula>
    </cfRule>
    <cfRule type="containsText" dxfId="128" priority="105" stopIfTrue="1" operator="containsText" text="Total">
      <formula>NOT(ISERROR(SEARCH("Total",C17)))</formula>
    </cfRule>
  </conditionalFormatting>
  <conditionalFormatting sqref="C20:N20">
    <cfRule type="containsText" dxfId="127" priority="96" stopIfTrue="1" operator="containsText" text="Exchange in use">
      <formula>NOT(ISERROR(SEARCH("Exchange in use",C20)))</formula>
    </cfRule>
    <cfRule type="containsText" dxfId="126" priority="97" stopIfTrue="1" operator="containsText" text="Exchange in Use-Issues">
      <formula>NOT(ISERROR(SEARCH("Exchange in Use-Issues",C20)))</formula>
    </cfRule>
    <cfRule type="containsText" dxfId="125" priority="98" stopIfTrue="1" operator="containsText" text="Domino in use-issues">
      <formula>NOT(ISERROR(SEARCH("Domino in use-issues",C20)))</formula>
    </cfRule>
    <cfRule type="containsText" dxfId="124" priority="99" stopIfTrue="1" operator="containsText" text="Partial">
      <formula>NOT(ISERROR(SEARCH("Partial",C20)))</formula>
    </cfRule>
    <cfRule type="containsText" dxfId="123" priority="100" stopIfTrue="1" operator="containsText" text="Total">
      <formula>NOT(ISERROR(SEARCH("Total",C20)))</formula>
    </cfRule>
  </conditionalFormatting>
  <conditionalFormatting sqref="C24:K41">
    <cfRule type="containsText" dxfId="122" priority="91" stopIfTrue="1" operator="containsText" text="Exchange in use">
      <formula>NOT(ISERROR(SEARCH("Exchange in use",C24)))</formula>
    </cfRule>
    <cfRule type="containsText" dxfId="121" priority="92" stopIfTrue="1" operator="containsText" text="Exchange in Use-Issues">
      <formula>NOT(ISERROR(SEARCH("Exchange in Use-Issues",C24)))</formula>
    </cfRule>
    <cfRule type="containsText" dxfId="120" priority="93" stopIfTrue="1" operator="containsText" text="Domino in use-issues">
      <formula>NOT(ISERROR(SEARCH("Domino in use-issues",C24)))</formula>
    </cfRule>
    <cfRule type="containsText" dxfId="119" priority="94" stopIfTrue="1" operator="containsText" text="Partial">
      <formula>NOT(ISERROR(SEARCH("Partial",C24)))</formula>
    </cfRule>
    <cfRule type="containsText" dxfId="118" priority="95" stopIfTrue="1" operator="containsText" text="Total">
      <formula>NOT(ISERROR(SEARCH("Total",C24)))</formula>
    </cfRule>
  </conditionalFormatting>
  <conditionalFormatting sqref="J22">
    <cfRule type="containsText" dxfId="117" priority="87" stopIfTrue="1" operator="containsText" text="None">
      <formula>NOT(ISERROR(SEARCH("None",J22)))</formula>
    </cfRule>
    <cfRule type="containsText" dxfId="116" priority="88" stopIfTrue="1" operator="containsText" text="Exchange in use">
      <formula>NOT(ISERROR(SEARCH("Exchange in use",J22)))</formula>
    </cfRule>
    <cfRule type="containsText" dxfId="115" priority="89" stopIfTrue="1" operator="containsText" text="Exchange in Use-Issues">
      <formula>NOT(ISERROR(SEARCH("Exchange in Use-Issues",J22)))</formula>
    </cfRule>
    <cfRule type="containsText" dxfId="114" priority="90" stopIfTrue="1" operator="containsText" text="Domino in use-issues">
      <formula>NOT(ISERROR(SEARCH("Domino in use-issues",J22)))</formula>
    </cfRule>
  </conditionalFormatting>
  <conditionalFormatting sqref="C59:J62">
    <cfRule type="containsText" dxfId="113" priority="82" stopIfTrue="1" operator="containsText" text="Exchange in use">
      <formula>NOT(ISERROR(SEARCH("Exchange in use",C59)))</formula>
    </cfRule>
    <cfRule type="containsText" dxfId="112" priority="83" stopIfTrue="1" operator="containsText" text="Exchange in Use-Issues">
      <formula>NOT(ISERROR(SEARCH("Exchange in Use-Issues",C59)))</formula>
    </cfRule>
    <cfRule type="containsText" dxfId="111" priority="84" stopIfTrue="1" operator="containsText" text="Domino in use-issues">
      <formula>NOT(ISERROR(SEARCH("Domino in use-issues",C59)))</formula>
    </cfRule>
    <cfRule type="containsText" dxfId="110" priority="85" stopIfTrue="1" operator="containsText" text="Partial">
      <formula>NOT(ISERROR(SEARCH("Partial",C59)))</formula>
    </cfRule>
    <cfRule type="containsText" dxfId="109" priority="86" stopIfTrue="1" operator="containsText" text="Total">
      <formula>NOT(ISERROR(SEARCH("Total",C59)))</formula>
    </cfRule>
  </conditionalFormatting>
  <conditionalFormatting sqref="J43">
    <cfRule type="containsText" dxfId="108" priority="78" stopIfTrue="1" operator="containsText" text="None">
      <formula>NOT(ISERROR(SEARCH("None",J43)))</formula>
    </cfRule>
    <cfRule type="containsText" dxfId="107" priority="79" stopIfTrue="1" operator="containsText" text="Exchange in use">
      <formula>NOT(ISERROR(SEARCH("Exchange in use",J43)))</formula>
    </cfRule>
    <cfRule type="containsText" dxfId="106" priority="80" stopIfTrue="1" operator="containsText" text="Exchange in Use-Issues">
      <formula>NOT(ISERROR(SEARCH("Exchange in Use-Issues",J43)))</formula>
    </cfRule>
    <cfRule type="containsText" dxfId="105" priority="81" stopIfTrue="1" operator="containsText" text="Domino in use-issues">
      <formula>NOT(ISERROR(SEARCH("Domino in use-issues",J43)))</formula>
    </cfRule>
  </conditionalFormatting>
  <conditionalFormatting sqref="I66:J66 H70 H66:H68">
    <cfRule type="containsText" dxfId="104" priority="66" stopIfTrue="1" operator="containsText" text="Exchange in use">
      <formula>NOT(ISERROR(SEARCH("Exchange in use",H66)))</formula>
    </cfRule>
    <cfRule type="containsText" dxfId="103" priority="67" stopIfTrue="1" operator="containsText" text="Exchange in Use-Issues">
      <formula>NOT(ISERROR(SEARCH("Exchange in Use-Issues",H66)))</formula>
    </cfRule>
    <cfRule type="containsText" dxfId="102" priority="68" stopIfTrue="1" operator="containsText" text="Domino in use-issues">
      <formula>NOT(ISERROR(SEARCH("Domino in use-issues",H66)))</formula>
    </cfRule>
    <cfRule type="containsText" dxfId="101" priority="69" stopIfTrue="1" operator="containsText" text="Partial">
      <formula>NOT(ISERROR(SEARCH("Partial",H66)))</formula>
    </cfRule>
    <cfRule type="containsText" dxfId="100" priority="70" stopIfTrue="1" operator="containsText" text="Total">
      <formula>NOT(ISERROR(SEARCH("Total",H66)))</formula>
    </cfRule>
  </conditionalFormatting>
  <conditionalFormatting sqref="C66:F69">
    <cfRule type="containsText" dxfId="99" priority="71" stopIfTrue="1" operator="containsText" text="Exchange in use">
      <formula>NOT(ISERROR(SEARCH("Exchange in use",C66)))</formula>
    </cfRule>
    <cfRule type="containsText" dxfId="98" priority="72" stopIfTrue="1" operator="containsText" text="Exchange in Use-Issues">
      <formula>NOT(ISERROR(SEARCH("Exchange in Use-Issues",C66)))</formula>
    </cfRule>
    <cfRule type="containsText" dxfId="97" priority="73" stopIfTrue="1" operator="containsText" text="Domino in use-issues">
      <formula>NOT(ISERROR(SEARCH("Domino in use-issues",C66)))</formula>
    </cfRule>
    <cfRule type="containsText" dxfId="96" priority="74" stopIfTrue="1" operator="containsText" text="Partial">
      <formula>NOT(ISERROR(SEARCH("Partial",C66)))</formula>
    </cfRule>
    <cfRule type="containsText" dxfId="95" priority="75" stopIfTrue="1" operator="containsText" text="Total">
      <formula>NOT(ISERROR(SEARCH("Total",C66)))</formula>
    </cfRule>
  </conditionalFormatting>
  <conditionalFormatting sqref="C66:F69 H70 H66:J68 I69">
    <cfRule type="containsText" dxfId="94" priority="76" stopIfTrue="1" operator="containsText" text="Partial">
      <formula>NOT(ISERROR(SEARCH("Partial",C66)))</formula>
    </cfRule>
    <cfRule type="containsText" dxfId="93" priority="77" stopIfTrue="1" operator="containsText" text="Total">
      <formula>NOT(ISERROR(SEARCH("Total",C66)))</formula>
    </cfRule>
  </conditionalFormatting>
  <conditionalFormatting sqref="I68:J68 I69">
    <cfRule type="containsText" dxfId="92" priority="61" stopIfTrue="1" operator="containsText" text="Exchange in use">
      <formula>NOT(ISERROR(SEARCH("Exchange in use",I68)))</formula>
    </cfRule>
    <cfRule type="containsText" dxfId="91" priority="62" stopIfTrue="1" operator="containsText" text="Exchange in Use-Issues">
      <formula>NOT(ISERROR(SEARCH("Exchange in Use-Issues",I68)))</formula>
    </cfRule>
    <cfRule type="containsText" dxfId="90" priority="63" stopIfTrue="1" operator="containsText" text="Domino in use-issues">
      <formula>NOT(ISERROR(SEARCH("Domino in use-issues",I68)))</formula>
    </cfRule>
    <cfRule type="containsText" dxfId="89" priority="64" stopIfTrue="1" operator="containsText" text="Partial">
      <formula>NOT(ISERROR(SEARCH("Partial",I68)))</formula>
    </cfRule>
    <cfRule type="containsText" dxfId="88" priority="65" stopIfTrue="1" operator="containsText" text="Total">
      <formula>NOT(ISERROR(SEARCH("Total",I68)))</formula>
    </cfRule>
  </conditionalFormatting>
  <conditionalFormatting sqref="G70 G66:G68">
    <cfRule type="containsText" dxfId="87" priority="54" stopIfTrue="1" operator="containsText" text="Exchange in use">
      <formula>NOT(ISERROR(SEARCH("Exchange in use",G66)))</formula>
    </cfRule>
    <cfRule type="containsText" dxfId="86" priority="55" stopIfTrue="1" operator="containsText" text="Exchange in Use-Issues">
      <formula>NOT(ISERROR(SEARCH("Exchange in Use-Issues",G66)))</formula>
    </cfRule>
    <cfRule type="containsText" dxfId="85" priority="56" stopIfTrue="1" operator="containsText" text="Domino in use-issues">
      <formula>NOT(ISERROR(SEARCH("Domino in use-issues",G66)))</formula>
    </cfRule>
    <cfRule type="containsText" dxfId="84" priority="57" stopIfTrue="1" operator="containsText" text="Partial">
      <formula>NOT(ISERROR(SEARCH("Partial",G66)))</formula>
    </cfRule>
    <cfRule type="containsText" dxfId="83" priority="58" stopIfTrue="1" operator="containsText" text="Total">
      <formula>NOT(ISERROR(SEARCH("Total",G66)))</formula>
    </cfRule>
  </conditionalFormatting>
  <conditionalFormatting sqref="G70 G66:G68">
    <cfRule type="containsText" dxfId="82" priority="59" stopIfTrue="1" operator="containsText" text="Partial">
      <formula>NOT(ISERROR(SEARCH("Partial",G66)))</formula>
    </cfRule>
    <cfRule type="containsText" dxfId="81" priority="60" stopIfTrue="1" operator="containsText" text="Total">
      <formula>NOT(ISERROR(SEARCH("Total",G66)))</formula>
    </cfRule>
  </conditionalFormatting>
  <conditionalFormatting sqref="J70">
    <cfRule type="containsText" dxfId="80" priority="47" stopIfTrue="1" operator="containsText" text="Exchange in use">
      <formula>NOT(ISERROR(SEARCH("Exchange in use",J70)))</formula>
    </cfRule>
    <cfRule type="containsText" dxfId="79" priority="48" stopIfTrue="1" operator="containsText" text="Exchange in Use-Issues">
      <formula>NOT(ISERROR(SEARCH("Exchange in Use-Issues",J70)))</formula>
    </cfRule>
    <cfRule type="containsText" dxfId="78" priority="49" stopIfTrue="1" operator="containsText" text="Domino in use-issues">
      <formula>NOT(ISERROR(SEARCH("Domino in use-issues",J70)))</formula>
    </cfRule>
    <cfRule type="containsText" dxfId="77" priority="50" stopIfTrue="1" operator="containsText" text="Partial">
      <formula>NOT(ISERROR(SEARCH("Partial",J70)))</formula>
    </cfRule>
    <cfRule type="containsText" dxfId="76" priority="51" stopIfTrue="1" operator="containsText" text="Total">
      <formula>NOT(ISERROR(SEARCH("Total",J70)))</formula>
    </cfRule>
  </conditionalFormatting>
  <conditionalFormatting sqref="J70">
    <cfRule type="containsText" dxfId="75" priority="52" stopIfTrue="1" operator="containsText" text="Partial">
      <formula>NOT(ISERROR(SEARCH("Partial",J70)))</formula>
    </cfRule>
    <cfRule type="containsText" dxfId="74" priority="53" stopIfTrue="1" operator="containsText" text="Total">
      <formula>NOT(ISERROR(SEARCH("Total",J70)))</formula>
    </cfRule>
  </conditionalFormatting>
  <conditionalFormatting sqref="C83:J83">
    <cfRule type="containsText" dxfId="73" priority="42" stopIfTrue="1" operator="containsText" text="Exchange in use">
      <formula>NOT(ISERROR(SEARCH("Exchange in use",C83)))</formula>
    </cfRule>
    <cfRule type="containsText" dxfId="72" priority="43" stopIfTrue="1" operator="containsText" text="Exchange in Use-Issues">
      <formula>NOT(ISERROR(SEARCH("Exchange in Use-Issues",C83)))</formula>
    </cfRule>
    <cfRule type="containsText" dxfId="71" priority="44" stopIfTrue="1" operator="containsText" text="Domino in use-issues">
      <formula>NOT(ISERROR(SEARCH("Domino in use-issues",C83)))</formula>
    </cfRule>
    <cfRule type="containsText" dxfId="70" priority="45" stopIfTrue="1" operator="containsText" text="Partial">
      <formula>NOT(ISERROR(SEARCH("Partial",C83)))</formula>
    </cfRule>
    <cfRule type="containsText" dxfId="69" priority="46" stopIfTrue="1" operator="containsText" text="Total">
      <formula>NOT(ISERROR(SEARCH("Total",C83)))</formula>
    </cfRule>
  </conditionalFormatting>
  <conditionalFormatting sqref="C103:P103">
    <cfRule type="containsText" dxfId="68" priority="33" stopIfTrue="1" operator="containsText" text="None">
      <formula>NOT(ISERROR(SEARCH("None",C103)))</formula>
    </cfRule>
    <cfRule type="containsText" dxfId="67" priority="34" stopIfTrue="1" operator="containsText" text="Exchange in use">
      <formula>NOT(ISERROR(SEARCH("Exchange in use",C103)))</formula>
    </cfRule>
    <cfRule type="containsText" dxfId="66" priority="35" stopIfTrue="1" operator="containsText" text="Exchange in Use-Issues">
      <formula>NOT(ISERROR(SEARCH("Exchange in Use-Issues",C103)))</formula>
    </cfRule>
    <cfRule type="containsText" dxfId="65" priority="36" stopIfTrue="1" operator="containsText" text="Domino in use-issues">
      <formula>NOT(ISERROR(SEARCH("Domino in use-issues",C103)))</formula>
    </cfRule>
  </conditionalFormatting>
  <conditionalFormatting sqref="C104:P122">
    <cfRule type="containsText" dxfId="64" priority="37" stopIfTrue="1" operator="containsText" text="Exchange in use">
      <formula>NOT(ISERROR(SEARCH("Exchange in use",C104)))</formula>
    </cfRule>
    <cfRule type="containsText" dxfId="63" priority="38" stopIfTrue="1" operator="containsText" text="Exchange in Use-Issues">
      <formula>NOT(ISERROR(SEARCH("Exchange in Use-Issues",C104)))</formula>
    </cfRule>
    <cfRule type="containsText" dxfId="62" priority="39" stopIfTrue="1" operator="containsText" text="Domino in use-issues">
      <formula>NOT(ISERROR(SEARCH("Domino in use-issues",C104)))</formula>
    </cfRule>
    <cfRule type="containsText" dxfId="61" priority="40" stopIfTrue="1" operator="containsText" text="Partial">
      <formula>NOT(ISERROR(SEARCH("Partial",C104)))</formula>
    </cfRule>
    <cfRule type="containsText" dxfId="60" priority="41" stopIfTrue="1" operator="containsText" text="Total">
      <formula>NOT(ISERROR(SEARCH("Total",C104)))</formula>
    </cfRule>
  </conditionalFormatting>
  <conditionalFormatting sqref="C125">
    <cfRule type="containsText" dxfId="59" priority="24" stopIfTrue="1" operator="containsText" text="Exchange in use">
      <formula>NOT(ISERROR(SEARCH("Exchange in use",C125)))</formula>
    </cfRule>
    <cfRule type="containsText" dxfId="58" priority="25" stopIfTrue="1" operator="containsText" text="Exchange in Use-Issues">
      <formula>NOT(ISERROR(SEARCH("Exchange in Use-Issues",C125)))</formula>
    </cfRule>
    <cfRule type="containsText" dxfId="57" priority="26" stopIfTrue="1" operator="containsText" text="Domino in use-issues">
      <formula>NOT(ISERROR(SEARCH("Domino in use-issues",C125)))</formula>
    </cfRule>
    <cfRule type="containsText" dxfId="56" priority="27" stopIfTrue="1" operator="containsText" text="Partial">
      <formula>NOT(ISERROR(SEARCH("Partial",C125)))</formula>
    </cfRule>
    <cfRule type="containsText" dxfId="55" priority="28" stopIfTrue="1" operator="containsText" text="Total">
      <formula>NOT(ISERROR(SEARCH("Total",C125)))</formula>
    </cfRule>
    <cfRule type="containsText" dxfId="54" priority="29" stopIfTrue="1" operator="containsText" text="Partial">
      <formula>NOT(ISERROR(SEARCH("Partial",C125)))</formula>
    </cfRule>
    <cfRule type="containsText" dxfId="53" priority="30" stopIfTrue="1" operator="containsText" text="Total">
      <formula>NOT(ISERROR(SEARCH("Total",C125)))</formula>
    </cfRule>
    <cfRule type="containsText" dxfId="52" priority="31" stopIfTrue="1" operator="containsText" text="Partial">
      <formula>NOT(ISERROR(SEARCH("Partial",C125)))</formula>
    </cfRule>
    <cfRule type="containsText" dxfId="51" priority="32" stopIfTrue="1" operator="containsText" text="Total">
      <formula>NOT(ISERROR(SEARCH("Total",C125)))</formula>
    </cfRule>
  </conditionalFormatting>
  <conditionalFormatting sqref="C101:P101">
    <cfRule type="containsText" dxfId="50" priority="19" stopIfTrue="1" operator="containsText" text="Exchange in use">
      <formula>NOT(ISERROR(SEARCH("Exchange in use",C101)))</formula>
    </cfRule>
    <cfRule type="containsText" dxfId="49" priority="20" stopIfTrue="1" operator="containsText" text="Exchange in Use-Issues">
      <formula>NOT(ISERROR(SEARCH("Exchange in Use-Issues",C101)))</formula>
    </cfRule>
    <cfRule type="containsText" dxfId="48" priority="21" stopIfTrue="1" operator="containsText" text="Domino in use-issues">
      <formula>NOT(ISERROR(SEARCH("Domino in use-issues",C101)))</formula>
    </cfRule>
    <cfRule type="containsText" dxfId="47" priority="22" stopIfTrue="1" operator="containsText" text="Partial">
      <formula>NOT(ISERROR(SEARCH("Partial",C101)))</formula>
    </cfRule>
    <cfRule type="containsText" dxfId="46" priority="23" stopIfTrue="1" operator="containsText" text="Total">
      <formula>NOT(ISERROR(SEARCH("Total",C101)))</formula>
    </cfRule>
  </conditionalFormatting>
  <conditionalFormatting sqref="D125:F142">
    <cfRule type="containsText" dxfId="45" priority="10" stopIfTrue="1" operator="containsText" text="Exchange in use">
      <formula>NOT(ISERROR(SEARCH("Exchange in use",D125)))</formula>
    </cfRule>
    <cfRule type="containsText" dxfId="44" priority="11" stopIfTrue="1" operator="containsText" text="Exchange in Use-Issues">
      <formula>NOT(ISERROR(SEARCH("Exchange in Use-Issues",D125)))</formula>
    </cfRule>
    <cfRule type="containsText" dxfId="43" priority="12" stopIfTrue="1" operator="containsText" text="Domino in use-issues">
      <formula>NOT(ISERROR(SEARCH("Domino in use-issues",D125)))</formula>
    </cfRule>
    <cfRule type="containsText" dxfId="42" priority="13" stopIfTrue="1" operator="containsText" text="Partial">
      <formula>NOT(ISERROR(SEARCH("Partial",D125)))</formula>
    </cfRule>
    <cfRule type="containsText" dxfId="41" priority="14" stopIfTrue="1" operator="containsText" text="Total">
      <formula>NOT(ISERROR(SEARCH("Total",D125)))</formula>
    </cfRule>
    <cfRule type="containsText" dxfId="40" priority="15" stopIfTrue="1" operator="containsText" text="Partial">
      <formula>NOT(ISERROR(SEARCH("Partial",D125)))</formula>
    </cfRule>
    <cfRule type="containsText" dxfId="39" priority="16" stopIfTrue="1" operator="containsText" text="Total">
      <formula>NOT(ISERROR(SEARCH("Total",D125)))</formula>
    </cfRule>
    <cfRule type="containsText" dxfId="38" priority="17" stopIfTrue="1" operator="containsText" text="Partial">
      <formula>NOT(ISERROR(SEARCH("Partial",D125)))</formula>
    </cfRule>
    <cfRule type="containsText" dxfId="37" priority="18" stopIfTrue="1" operator="containsText" text="Total">
      <formula>NOT(ISERROR(SEARCH("Total",D125)))</formula>
    </cfRule>
  </conditionalFormatting>
  <conditionalFormatting sqref="C126:C142">
    <cfRule type="containsText" dxfId="36" priority="1" stopIfTrue="1" operator="containsText" text="Exchange in use">
      <formula>NOT(ISERROR(SEARCH("Exchange in use",C126)))</formula>
    </cfRule>
    <cfRule type="containsText" dxfId="35" priority="2" stopIfTrue="1" operator="containsText" text="Exchange in Use-Issues">
      <formula>NOT(ISERROR(SEARCH("Exchange in Use-Issues",C126)))</formula>
    </cfRule>
    <cfRule type="containsText" dxfId="34" priority="3" stopIfTrue="1" operator="containsText" text="Domino in use-issues">
      <formula>NOT(ISERROR(SEARCH("Domino in use-issues",C126)))</formula>
    </cfRule>
    <cfRule type="containsText" dxfId="33" priority="4" stopIfTrue="1" operator="containsText" text="Partial">
      <formula>NOT(ISERROR(SEARCH("Partial",C126)))</formula>
    </cfRule>
    <cfRule type="containsText" dxfId="32" priority="5" stopIfTrue="1" operator="containsText" text="Total">
      <formula>NOT(ISERROR(SEARCH("Total",C126)))</formula>
    </cfRule>
    <cfRule type="containsText" dxfId="31" priority="6" stopIfTrue="1" operator="containsText" text="Partial">
      <formula>NOT(ISERROR(SEARCH("Partial",C126)))</formula>
    </cfRule>
    <cfRule type="containsText" dxfId="30" priority="7" stopIfTrue="1" operator="containsText" text="Total">
      <formula>NOT(ISERROR(SEARCH("Total",C126)))</formula>
    </cfRule>
    <cfRule type="containsText" dxfId="29" priority="8" stopIfTrue="1" operator="containsText" text="Partial">
      <formula>NOT(ISERROR(SEARCH("Partial",C126)))</formula>
    </cfRule>
    <cfRule type="containsText" dxfId="28" priority="9" stopIfTrue="1" operator="containsText" text="Total">
      <formula>NOT(ISERROR(SEARCH("Total",C126)))</formula>
    </cfRule>
  </conditionalFormatting>
  <dataValidations count="2">
    <dataValidation type="list" allowBlank="1" showInputMessage="1" showErrorMessage="1" sqref="G70:H70 C66:F69 G66:H68 I66:I69 J66:J68 J70">
      <formula1>Infrastructure</formula1>
    </dataValidation>
    <dataValidation type="list" allowBlank="1" showInputMessage="1" showErrorMessage="1" sqref="C104:E104 K104:L104 C105 E105 H105 K105:M105 C106:F106 I106:M106 O104:O109 C107:E108 G107:M108 C109:M109 C110:O110 C111:E111 H111:J111 L111 O111:O112 C112:F114 I112:J112 L112:M112 H113:O113 I114:M114 O114 C115:O115 C116:E116 G116:M116 O116 C117:O117 C118:D120 H121:I122 K121:P122 P104:P120 G118:G120 I118:I120 L118:L120 O118:O120 C121:F122 C125:F128">
      <formula1>Infrastructure</formula1>
    </dataValidation>
  </dataValidations>
  <pageMargins left="0.75" right="0.75" top="1" bottom="1" header="0.5" footer="0.5"/>
  <pageSetup paperSize="9" orientation="portrait" horizontalDpi="300" verticalDpi="4294967295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Y42"/>
  <sheetViews>
    <sheetView workbookViewId="0">
      <selection activeCell="F1" sqref="F1"/>
    </sheetView>
  </sheetViews>
  <sheetFormatPr defaultColWidth="9.109375" defaultRowHeight="13.2" x14ac:dyDescent="0.25"/>
  <cols>
    <col min="1" max="1" width="4.44140625" style="48" bestFit="1" customWidth="1"/>
    <col min="2" max="2" width="22.88671875" style="48" bestFit="1" customWidth="1"/>
    <col min="3" max="3" width="45.6640625" style="48" bestFit="1" customWidth="1"/>
    <col min="4" max="10" width="26.109375" style="48" bestFit="1" customWidth="1"/>
    <col min="11" max="13" width="15" style="48" bestFit="1" customWidth="1"/>
    <col min="14" max="14" width="17.44140625" style="48" bestFit="1" customWidth="1"/>
    <col min="15" max="15" width="16.33203125" style="48" bestFit="1" customWidth="1"/>
    <col min="16" max="16" width="14.109375" style="48" bestFit="1" customWidth="1"/>
    <col min="17" max="17" width="12" style="48" bestFit="1" customWidth="1"/>
    <col min="18" max="18" width="5.88671875" style="48" bestFit="1" customWidth="1"/>
    <col min="19" max="19" width="7.5546875" style="48" bestFit="1" customWidth="1"/>
    <col min="20" max="20" width="6" style="48" bestFit="1" customWidth="1"/>
    <col min="21" max="21" width="8.6640625" style="48" bestFit="1" customWidth="1"/>
    <col min="22" max="22" width="7.88671875" style="48" bestFit="1" customWidth="1"/>
    <col min="23" max="23" width="17.88671875" style="48" bestFit="1" customWidth="1"/>
    <col min="24" max="24" width="14.44140625" style="48" bestFit="1" customWidth="1"/>
    <col min="25" max="25" width="5.88671875" style="48" bestFit="1" customWidth="1"/>
    <col min="26" max="16384" width="9.109375" style="48"/>
  </cols>
  <sheetData>
    <row r="1" spans="1:19" ht="13.8" thickBot="1" x14ac:dyDescent="0.3">
      <c r="B1" s="211" t="s">
        <v>43</v>
      </c>
      <c r="F1" s="493">
        <f>'Infrastructure and Systems'!M2</f>
        <v>45930</v>
      </c>
      <c r="I1" s="57"/>
    </row>
    <row r="2" spans="1:19" ht="13.8" thickBot="1" x14ac:dyDescent="0.3">
      <c r="A2" s="306" t="s">
        <v>0</v>
      </c>
      <c r="B2" s="307" t="s">
        <v>175</v>
      </c>
      <c r="C2" s="308" t="s">
        <v>54</v>
      </c>
      <c r="D2" s="308" t="s">
        <v>55</v>
      </c>
      <c r="E2" s="308" t="s">
        <v>56</v>
      </c>
      <c r="F2" s="308" t="s">
        <v>117</v>
      </c>
      <c r="G2" s="308" t="s">
        <v>57</v>
      </c>
      <c r="H2" s="308" t="s">
        <v>58</v>
      </c>
      <c r="I2" s="308" t="s">
        <v>59</v>
      </c>
      <c r="J2" s="308" t="s">
        <v>60</v>
      </c>
      <c r="K2" s="309" t="s">
        <v>61</v>
      </c>
      <c r="L2" s="308" t="s">
        <v>62</v>
      </c>
      <c r="M2" s="308" t="s">
        <v>63</v>
      </c>
      <c r="N2" s="309" t="s">
        <v>57</v>
      </c>
      <c r="O2" s="47"/>
      <c r="P2" s="47"/>
      <c r="Q2" s="47"/>
      <c r="R2" s="47"/>
      <c r="S2" s="47"/>
    </row>
    <row r="3" spans="1:19" ht="13.8" thickBot="1" x14ac:dyDescent="0.3">
      <c r="A3" s="310">
        <v>1</v>
      </c>
      <c r="B3" s="311" t="s">
        <v>387</v>
      </c>
      <c r="C3" s="238" t="s">
        <v>388</v>
      </c>
      <c r="D3" s="238" t="s">
        <v>388</v>
      </c>
      <c r="E3" s="238" t="s">
        <v>388</v>
      </c>
      <c r="F3" s="238" t="s">
        <v>388</v>
      </c>
      <c r="G3" s="238" t="s">
        <v>388</v>
      </c>
      <c r="H3" s="238" t="s">
        <v>388</v>
      </c>
      <c r="I3" s="238" t="s">
        <v>388</v>
      </c>
      <c r="J3" s="238" t="s">
        <v>388</v>
      </c>
      <c r="K3" s="238" t="s">
        <v>388</v>
      </c>
      <c r="L3" s="238" t="s">
        <v>388</v>
      </c>
      <c r="M3" s="238" t="s">
        <v>388</v>
      </c>
      <c r="N3" s="238" t="s">
        <v>388</v>
      </c>
      <c r="O3" s="47"/>
      <c r="P3" s="47"/>
      <c r="Q3" s="47"/>
      <c r="R3" s="47"/>
      <c r="S3" s="47"/>
    </row>
    <row r="4" spans="1:19" ht="13.8" thickBot="1" x14ac:dyDescent="0.3">
      <c r="A4" s="312">
        <v>2</v>
      </c>
      <c r="B4" s="313" t="s">
        <v>389</v>
      </c>
      <c r="C4" s="238" t="s">
        <v>388</v>
      </c>
      <c r="D4" s="238" t="s">
        <v>388</v>
      </c>
      <c r="E4" s="238" t="s">
        <v>388</v>
      </c>
      <c r="F4" s="238" t="s">
        <v>388</v>
      </c>
      <c r="G4" s="238" t="s">
        <v>388</v>
      </c>
      <c r="H4" s="238" t="s">
        <v>388</v>
      </c>
      <c r="I4" s="238" t="s">
        <v>388</v>
      </c>
      <c r="J4" s="238" t="s">
        <v>388</v>
      </c>
      <c r="K4" s="238" t="s">
        <v>388</v>
      </c>
      <c r="L4" s="238" t="s">
        <v>388</v>
      </c>
      <c r="M4" s="238" t="s">
        <v>388</v>
      </c>
      <c r="N4" s="238" t="s">
        <v>388</v>
      </c>
      <c r="O4" s="47"/>
      <c r="P4" s="47"/>
      <c r="Q4" s="47"/>
      <c r="R4" s="47"/>
      <c r="S4" s="47"/>
    </row>
    <row r="5" spans="1:19" ht="26.4" thickBot="1" x14ac:dyDescent="0.3">
      <c r="A5" s="314">
        <v>3</v>
      </c>
      <c r="B5" s="315" t="s">
        <v>390</v>
      </c>
      <c r="C5" s="316">
        <v>45931</v>
      </c>
      <c r="D5" s="316">
        <v>45931</v>
      </c>
      <c r="E5" s="316">
        <v>45931</v>
      </c>
      <c r="F5" s="316">
        <v>45931</v>
      </c>
      <c r="G5" s="316">
        <v>45931</v>
      </c>
      <c r="H5" s="316">
        <v>45931</v>
      </c>
      <c r="I5" s="316">
        <v>45931</v>
      </c>
      <c r="J5" s="316">
        <v>45931</v>
      </c>
      <c r="K5" s="316">
        <v>45931</v>
      </c>
      <c r="L5" s="316">
        <v>45931</v>
      </c>
      <c r="M5" s="316">
        <v>45931</v>
      </c>
      <c r="N5" s="316">
        <v>45931</v>
      </c>
      <c r="O5" s="47"/>
      <c r="P5" s="47"/>
      <c r="Q5" s="47"/>
      <c r="R5" s="47"/>
      <c r="S5" s="47"/>
    </row>
    <row r="6" spans="1:19" ht="13.8" thickBot="1" x14ac:dyDescent="0.3"/>
    <row r="7" spans="1:19" ht="13.8" thickBot="1" x14ac:dyDescent="0.3">
      <c r="B7" s="211" t="s">
        <v>44</v>
      </c>
    </row>
    <row r="8" spans="1:19" ht="13.8" thickBot="1" x14ac:dyDescent="0.3">
      <c r="A8" s="317" t="s">
        <v>0</v>
      </c>
      <c r="B8" s="306" t="s">
        <v>175</v>
      </c>
      <c r="C8" s="318" t="s">
        <v>68</v>
      </c>
      <c r="D8" s="318" t="s">
        <v>69</v>
      </c>
      <c r="E8" s="318" t="s">
        <v>70</v>
      </c>
      <c r="F8" s="318" t="s">
        <v>71</v>
      </c>
      <c r="G8" s="318" t="s">
        <v>72</v>
      </c>
      <c r="H8" s="318" t="s">
        <v>73</v>
      </c>
      <c r="I8" s="318" t="s">
        <v>74</v>
      </c>
      <c r="J8" s="318" t="s">
        <v>75</v>
      </c>
      <c r="K8" s="47"/>
      <c r="L8" s="47"/>
      <c r="M8" s="47"/>
    </row>
    <row r="9" spans="1:19" s="47" customFormat="1" ht="27" thickBot="1" x14ac:dyDescent="0.3">
      <c r="A9" s="319">
        <v>1</v>
      </c>
      <c r="B9" s="320" t="s">
        <v>387</v>
      </c>
      <c r="C9" s="238" t="s">
        <v>410</v>
      </c>
      <c r="D9" s="321" t="s">
        <v>410</v>
      </c>
      <c r="E9" s="321" t="s">
        <v>410</v>
      </c>
      <c r="F9" s="321" t="s">
        <v>410</v>
      </c>
      <c r="G9" s="321" t="s">
        <v>410</v>
      </c>
      <c r="H9" s="321" t="s">
        <v>410</v>
      </c>
      <c r="I9" s="321" t="s">
        <v>410</v>
      </c>
      <c r="J9" s="321" t="s">
        <v>410</v>
      </c>
    </row>
    <row r="10" spans="1:19" s="47" customFormat="1" ht="27" thickBot="1" x14ac:dyDescent="0.3">
      <c r="A10" s="319">
        <v>2</v>
      </c>
      <c r="B10" s="322" t="s">
        <v>389</v>
      </c>
      <c r="C10" s="238" t="s">
        <v>410</v>
      </c>
      <c r="D10" s="238" t="s">
        <v>410</v>
      </c>
      <c r="E10" s="238" t="s">
        <v>410</v>
      </c>
      <c r="F10" s="238" t="s">
        <v>410</v>
      </c>
      <c r="G10" s="238" t="s">
        <v>410</v>
      </c>
      <c r="H10" s="238" t="s">
        <v>410</v>
      </c>
      <c r="I10" s="238" t="s">
        <v>410</v>
      </c>
      <c r="J10" s="238" t="s">
        <v>410</v>
      </c>
    </row>
    <row r="11" spans="1:19" s="47" customFormat="1" ht="26.4" thickBot="1" x14ac:dyDescent="0.3">
      <c r="A11" s="319">
        <v>3</v>
      </c>
      <c r="B11" s="322" t="s">
        <v>390</v>
      </c>
      <c r="C11" s="238"/>
      <c r="D11" s="238"/>
      <c r="E11" s="238"/>
      <c r="F11" s="238"/>
      <c r="G11" s="238"/>
      <c r="H11" s="238"/>
      <c r="I11" s="238"/>
      <c r="J11" s="238"/>
    </row>
    <row r="12" spans="1:19" s="47" customFormat="1" ht="13.8" thickBot="1" x14ac:dyDescent="0.3">
      <c r="A12" s="323"/>
      <c r="B12" s="280"/>
      <c r="C12" s="324"/>
      <c r="D12" s="324"/>
      <c r="E12" s="324"/>
      <c r="F12" s="324"/>
      <c r="G12" s="324"/>
      <c r="H12" s="324"/>
      <c r="I12" s="324"/>
      <c r="J12" s="324"/>
    </row>
    <row r="13" spans="1:19" ht="13.8" thickBot="1" x14ac:dyDescent="0.3">
      <c r="B13" s="211" t="s">
        <v>45</v>
      </c>
    </row>
    <row r="14" spans="1:19" ht="13.8" thickBot="1" x14ac:dyDescent="0.3">
      <c r="A14" s="325" t="s">
        <v>0</v>
      </c>
      <c r="B14" s="326" t="s">
        <v>175</v>
      </c>
      <c r="C14" s="327" t="s">
        <v>84</v>
      </c>
      <c r="D14" s="328" t="s">
        <v>85</v>
      </c>
      <c r="E14" s="328" t="s">
        <v>86</v>
      </c>
      <c r="F14" s="328" t="s">
        <v>87</v>
      </c>
      <c r="G14" s="328" t="s">
        <v>88</v>
      </c>
      <c r="H14" s="328" t="s">
        <v>89</v>
      </c>
      <c r="I14" s="328" t="s">
        <v>90</v>
      </c>
      <c r="J14" s="329" t="s">
        <v>91</v>
      </c>
      <c r="K14" s="47"/>
      <c r="L14" s="47"/>
      <c r="M14" s="47"/>
      <c r="N14" s="47"/>
      <c r="O14" s="47"/>
      <c r="P14" s="47"/>
      <c r="Q14" s="47"/>
      <c r="R14" s="47"/>
      <c r="S14" s="47"/>
    </row>
    <row r="15" spans="1:19" ht="27" thickBot="1" x14ac:dyDescent="0.3">
      <c r="A15" s="330">
        <v>1</v>
      </c>
      <c r="B15" s="331" t="s">
        <v>387</v>
      </c>
      <c r="C15" s="238" t="s">
        <v>400</v>
      </c>
      <c r="D15" s="238" t="s">
        <v>401</v>
      </c>
      <c r="E15" s="238" t="s">
        <v>402</v>
      </c>
      <c r="F15" s="238" t="s">
        <v>254</v>
      </c>
      <c r="G15" s="238" t="s">
        <v>388</v>
      </c>
      <c r="H15" s="238" t="s">
        <v>295</v>
      </c>
      <c r="I15" s="238" t="s">
        <v>254</v>
      </c>
      <c r="J15" s="238" t="s">
        <v>254</v>
      </c>
      <c r="K15" s="47"/>
      <c r="L15" s="47"/>
      <c r="M15" s="47"/>
      <c r="N15" s="47"/>
      <c r="O15" s="47"/>
      <c r="P15" s="47"/>
      <c r="Q15" s="47"/>
      <c r="R15" s="47"/>
      <c r="S15" s="47"/>
    </row>
    <row r="16" spans="1:19" ht="13.8" thickBot="1" x14ac:dyDescent="0.3">
      <c r="A16" s="330">
        <v>2</v>
      </c>
      <c r="B16" s="332" t="s">
        <v>389</v>
      </c>
      <c r="C16" s="238" t="s">
        <v>403</v>
      </c>
      <c r="D16" s="238" t="s">
        <v>403</v>
      </c>
      <c r="E16" s="238" t="s">
        <v>404</v>
      </c>
      <c r="F16" s="238" t="s">
        <v>405</v>
      </c>
      <c r="G16" s="238" t="s">
        <v>388</v>
      </c>
      <c r="H16" s="238" t="s">
        <v>295</v>
      </c>
      <c r="I16" s="238" t="s">
        <v>406</v>
      </c>
      <c r="J16" s="238" t="s">
        <v>407</v>
      </c>
      <c r="K16" s="47"/>
      <c r="L16" s="47"/>
      <c r="M16" s="47"/>
      <c r="N16" s="47"/>
      <c r="O16" s="47"/>
      <c r="P16" s="47"/>
      <c r="Q16" s="47"/>
      <c r="R16" s="47"/>
      <c r="S16" s="47"/>
    </row>
    <row r="17" spans="1:25" ht="25.8" thickBot="1" x14ac:dyDescent="0.3">
      <c r="A17" s="330">
        <v>3</v>
      </c>
      <c r="B17" s="332" t="s">
        <v>390</v>
      </c>
      <c r="C17" s="316"/>
      <c r="D17" s="316">
        <v>45904</v>
      </c>
      <c r="E17" s="316" t="s">
        <v>408</v>
      </c>
      <c r="F17" s="316" t="s">
        <v>254</v>
      </c>
      <c r="G17" s="316" t="s">
        <v>409</v>
      </c>
      <c r="H17" s="316" t="s">
        <v>409</v>
      </c>
      <c r="I17" s="316" t="s">
        <v>409</v>
      </c>
      <c r="J17" s="316"/>
      <c r="K17" s="47"/>
      <c r="L17" s="47"/>
      <c r="M17" s="47"/>
      <c r="N17" s="47"/>
      <c r="O17" s="47"/>
      <c r="P17" s="47"/>
      <c r="Q17" s="47"/>
      <c r="R17" s="47"/>
      <c r="S17" s="47"/>
    </row>
    <row r="19" spans="1:25" ht="13.8" thickBot="1" x14ac:dyDescent="0.3"/>
    <row r="20" spans="1:25" ht="13.8" thickBot="1" x14ac:dyDescent="0.3">
      <c r="B20" s="211" t="s">
        <v>46</v>
      </c>
    </row>
    <row r="21" spans="1:25" ht="13.8" thickBot="1" x14ac:dyDescent="0.3">
      <c r="A21" s="333" t="s">
        <v>0</v>
      </c>
      <c r="B21" s="296" t="s">
        <v>175</v>
      </c>
      <c r="C21" s="295" t="s">
        <v>104</v>
      </c>
      <c r="D21" s="295" t="s">
        <v>105</v>
      </c>
      <c r="E21" s="295" t="s">
        <v>106</v>
      </c>
      <c r="F21" s="295" t="s">
        <v>107</v>
      </c>
      <c r="G21" s="295" t="s">
        <v>108</v>
      </c>
      <c r="H21" s="295" t="s">
        <v>109</v>
      </c>
      <c r="I21" s="295" t="s">
        <v>110</v>
      </c>
      <c r="J21" s="334" t="s">
        <v>111</v>
      </c>
      <c r="K21" s="47"/>
      <c r="L21" s="47"/>
      <c r="M21" s="47"/>
      <c r="N21" s="47"/>
      <c r="O21" s="47"/>
      <c r="P21" s="47"/>
      <c r="Q21" s="47"/>
      <c r="R21" s="47"/>
      <c r="S21" s="47"/>
    </row>
    <row r="22" spans="1:25" ht="27" thickBot="1" x14ac:dyDescent="0.3">
      <c r="A22" s="335">
        <v>1</v>
      </c>
      <c r="B22" s="58" t="s">
        <v>387</v>
      </c>
      <c r="C22" s="238" t="s">
        <v>411</v>
      </c>
      <c r="D22" s="238" t="s">
        <v>412</v>
      </c>
      <c r="E22" s="238" t="s">
        <v>413</v>
      </c>
      <c r="F22" s="238" t="s">
        <v>414</v>
      </c>
      <c r="G22" s="238" t="s">
        <v>411</v>
      </c>
      <c r="H22" s="238" t="s">
        <v>411</v>
      </c>
      <c r="I22" s="238" t="s">
        <v>411</v>
      </c>
      <c r="J22" s="238" t="s">
        <v>411</v>
      </c>
      <c r="K22" s="47"/>
      <c r="L22" s="47"/>
      <c r="M22" s="47"/>
      <c r="N22" s="47"/>
      <c r="O22" s="47"/>
      <c r="P22" s="47"/>
      <c r="Q22" s="47"/>
      <c r="R22" s="47"/>
      <c r="S22" s="47"/>
    </row>
    <row r="23" spans="1:25" ht="13.8" thickBot="1" x14ac:dyDescent="0.3">
      <c r="A23" s="335">
        <v>2</v>
      </c>
      <c r="B23" s="58" t="s">
        <v>389</v>
      </c>
      <c r="C23" s="238" t="s">
        <v>415</v>
      </c>
      <c r="D23" s="238" t="s">
        <v>415</v>
      </c>
      <c r="E23" s="238" t="s">
        <v>415</v>
      </c>
      <c r="F23" s="238" t="s">
        <v>415</v>
      </c>
      <c r="G23" s="238" t="s">
        <v>415</v>
      </c>
      <c r="H23" s="238" t="s">
        <v>415</v>
      </c>
      <c r="I23" s="238" t="s">
        <v>415</v>
      </c>
      <c r="J23" s="238" t="s">
        <v>415</v>
      </c>
      <c r="K23" s="47"/>
      <c r="L23" s="47"/>
      <c r="M23" s="47"/>
      <c r="N23" s="47"/>
      <c r="O23" s="47"/>
      <c r="P23" s="47"/>
      <c r="Q23" s="47"/>
      <c r="R23" s="47"/>
      <c r="S23" s="47"/>
    </row>
    <row r="24" spans="1:25" ht="32.25" customHeight="1" thickBot="1" x14ac:dyDescent="0.3">
      <c r="A24" s="297">
        <v>3</v>
      </c>
      <c r="B24" s="58" t="s">
        <v>390</v>
      </c>
      <c r="C24" s="238" t="s">
        <v>416</v>
      </c>
      <c r="D24" s="238" t="s">
        <v>416</v>
      </c>
      <c r="E24" s="238" t="s">
        <v>416</v>
      </c>
      <c r="F24" s="238" t="s">
        <v>416</v>
      </c>
      <c r="G24" s="238" t="s">
        <v>416</v>
      </c>
      <c r="H24" s="238" t="s">
        <v>416</v>
      </c>
      <c r="I24" s="238" t="s">
        <v>416</v>
      </c>
      <c r="J24" s="238" t="s">
        <v>416</v>
      </c>
      <c r="K24" s="47"/>
      <c r="L24" s="47"/>
      <c r="M24" s="47"/>
      <c r="N24" s="47"/>
      <c r="O24" s="47"/>
      <c r="P24" s="47"/>
      <c r="Q24" s="47"/>
      <c r="R24" s="47"/>
      <c r="S24" s="47"/>
    </row>
    <row r="25" spans="1:25" ht="13.8" thickBot="1" x14ac:dyDescent="0.3">
      <c r="A25" s="323"/>
      <c r="B25" s="280"/>
      <c r="C25" s="206"/>
      <c r="D25" s="206"/>
      <c r="E25" s="206"/>
      <c r="F25" s="206"/>
      <c r="G25" s="206"/>
      <c r="H25" s="206"/>
      <c r="I25" s="206"/>
      <c r="J25" s="206"/>
      <c r="K25" s="47"/>
      <c r="L25" s="47"/>
      <c r="M25" s="47"/>
      <c r="N25" s="47"/>
      <c r="O25" s="47"/>
      <c r="P25" s="47"/>
      <c r="Q25" s="47"/>
      <c r="R25" s="47"/>
      <c r="S25" s="47"/>
    </row>
    <row r="26" spans="1:25" ht="13.8" thickBot="1" x14ac:dyDescent="0.3">
      <c r="B26" s="211" t="s">
        <v>47</v>
      </c>
    </row>
    <row r="27" spans="1:25" ht="25.8" thickBot="1" x14ac:dyDescent="0.3">
      <c r="A27" s="295" t="s">
        <v>0</v>
      </c>
      <c r="B27" s="295" t="s">
        <v>1</v>
      </c>
      <c r="C27" s="295" t="s">
        <v>135</v>
      </c>
      <c r="D27" s="295" t="s">
        <v>136</v>
      </c>
      <c r="E27" s="295" t="s">
        <v>137</v>
      </c>
      <c r="F27" s="295" t="s">
        <v>138</v>
      </c>
      <c r="G27" s="295" t="s">
        <v>291</v>
      </c>
      <c r="H27" s="295" t="s">
        <v>139</v>
      </c>
      <c r="I27" s="295" t="s">
        <v>140</v>
      </c>
      <c r="J27" s="295" t="s">
        <v>141</v>
      </c>
      <c r="K27" s="295" t="s">
        <v>568</v>
      </c>
      <c r="L27" s="295" t="s">
        <v>147</v>
      </c>
      <c r="M27" s="295" t="s">
        <v>142</v>
      </c>
      <c r="N27" s="295" t="s">
        <v>143</v>
      </c>
      <c r="O27" s="295" t="s">
        <v>293</v>
      </c>
      <c r="P27" s="295" t="s">
        <v>144</v>
      </c>
      <c r="Q27" s="295" t="s">
        <v>294</v>
      </c>
      <c r="R27" s="295" t="s">
        <v>145</v>
      </c>
      <c r="S27" s="295" t="s">
        <v>147</v>
      </c>
      <c r="T27" s="295" t="s">
        <v>142</v>
      </c>
      <c r="U27" s="295" t="s">
        <v>143</v>
      </c>
      <c r="V27" s="295" t="s">
        <v>293</v>
      </c>
      <c r="W27" s="295" t="s">
        <v>144</v>
      </c>
      <c r="X27" s="295" t="s">
        <v>294</v>
      </c>
      <c r="Y27" s="295" t="s">
        <v>145</v>
      </c>
    </row>
    <row r="28" spans="1:25" ht="33" customHeight="1" thickBot="1" x14ac:dyDescent="0.3">
      <c r="A28" s="305">
        <v>1</v>
      </c>
      <c r="B28" s="58" t="s">
        <v>746</v>
      </c>
      <c r="C28" s="342" t="s">
        <v>747</v>
      </c>
      <c r="D28" s="342" t="s">
        <v>253</v>
      </c>
      <c r="E28" s="342" t="s">
        <v>748</v>
      </c>
      <c r="F28" s="342" t="s">
        <v>749</v>
      </c>
      <c r="G28" s="342" t="s">
        <v>747</v>
      </c>
      <c r="H28" s="342" t="s">
        <v>749</v>
      </c>
      <c r="I28" s="342" t="s">
        <v>748</v>
      </c>
      <c r="J28" s="342" t="s">
        <v>750</v>
      </c>
      <c r="K28" s="342" t="s">
        <v>245</v>
      </c>
      <c r="L28" s="260" t="s">
        <v>253</v>
      </c>
      <c r="M28" s="260" t="s">
        <v>253</v>
      </c>
      <c r="N28" s="260" t="s">
        <v>97</v>
      </c>
      <c r="O28" s="260" t="s">
        <v>253</v>
      </c>
      <c r="P28" s="260" t="s">
        <v>751</v>
      </c>
      <c r="Q28" s="260" t="s">
        <v>253</v>
      </c>
      <c r="R28" s="260"/>
      <c r="S28" s="260" t="s">
        <v>253</v>
      </c>
      <c r="T28" s="260" t="s">
        <v>253</v>
      </c>
      <c r="U28" s="260" t="s">
        <v>97</v>
      </c>
      <c r="V28" s="260" t="s">
        <v>253</v>
      </c>
      <c r="W28" s="260" t="s">
        <v>751</v>
      </c>
      <c r="X28" s="260" t="s">
        <v>253</v>
      </c>
      <c r="Y28" s="260"/>
    </row>
    <row r="29" spans="1:25" ht="27" thickBot="1" x14ac:dyDescent="0.3">
      <c r="A29" s="305">
        <v>2</v>
      </c>
      <c r="B29" s="58" t="s">
        <v>389</v>
      </c>
      <c r="C29" s="342" t="s">
        <v>752</v>
      </c>
      <c r="D29" s="342" t="s">
        <v>258</v>
      </c>
      <c r="E29" s="342" t="s">
        <v>753</v>
      </c>
      <c r="F29" s="342" t="s">
        <v>749</v>
      </c>
      <c r="G29" s="260"/>
      <c r="H29" s="342" t="s">
        <v>749</v>
      </c>
      <c r="I29" s="260" t="s">
        <v>753</v>
      </c>
      <c r="J29" s="260" t="s">
        <v>754</v>
      </c>
      <c r="K29" s="260" t="s">
        <v>755</v>
      </c>
      <c r="L29" s="260" t="s">
        <v>258</v>
      </c>
      <c r="M29" s="260" t="s">
        <v>258</v>
      </c>
      <c r="N29" s="260" t="s">
        <v>258</v>
      </c>
      <c r="O29" s="260" t="s">
        <v>253</v>
      </c>
      <c r="P29" s="260" t="s">
        <v>756</v>
      </c>
      <c r="Q29" s="260" t="s">
        <v>757</v>
      </c>
      <c r="R29" s="260"/>
      <c r="S29" s="260" t="s">
        <v>258</v>
      </c>
      <c r="T29" s="260" t="s">
        <v>258</v>
      </c>
      <c r="U29" s="260" t="s">
        <v>258</v>
      </c>
      <c r="V29" s="260" t="s">
        <v>253</v>
      </c>
      <c r="W29" s="260" t="s">
        <v>756</v>
      </c>
      <c r="X29" s="260" t="s">
        <v>757</v>
      </c>
      <c r="Y29" s="260"/>
    </row>
    <row r="30" spans="1:25" ht="18.75" customHeight="1" thickBot="1" x14ac:dyDescent="0.3">
      <c r="A30" s="305">
        <v>3</v>
      </c>
      <c r="B30" s="58" t="s">
        <v>390</v>
      </c>
      <c r="C30" s="342" t="s">
        <v>758</v>
      </c>
      <c r="D30" s="342"/>
      <c r="E30" s="342" t="s">
        <v>759</v>
      </c>
      <c r="F30" s="342"/>
      <c r="G30" s="260" t="s">
        <v>760</v>
      </c>
      <c r="H30" s="342"/>
      <c r="I30" s="260" t="s">
        <v>759</v>
      </c>
      <c r="J30" s="260" t="s">
        <v>761</v>
      </c>
      <c r="K30" s="260" t="s">
        <v>763</v>
      </c>
      <c r="L30" s="260"/>
      <c r="M30" s="260"/>
      <c r="N30" s="260"/>
      <c r="O30" s="260"/>
      <c r="P30" s="260" t="s">
        <v>761</v>
      </c>
      <c r="Q30" s="260" t="s">
        <v>481</v>
      </c>
      <c r="R30" s="260"/>
      <c r="S30" s="260"/>
      <c r="T30" s="260"/>
      <c r="U30" s="260"/>
      <c r="V30" s="260"/>
      <c r="W30" s="260" t="s">
        <v>761</v>
      </c>
      <c r="X30" s="260" t="s">
        <v>481</v>
      </c>
      <c r="Y30" s="260"/>
    </row>
    <row r="31" spans="1:25" ht="36.75" customHeight="1" thickBot="1" x14ac:dyDescent="0.3"/>
    <row r="32" spans="1:25" ht="13.8" thickBot="1" x14ac:dyDescent="0.3">
      <c r="B32" s="336" t="s">
        <v>27</v>
      </c>
    </row>
    <row r="33" spans="1:20" ht="13.8" thickBot="1" x14ac:dyDescent="0.3">
      <c r="A33" s="337" t="s">
        <v>0</v>
      </c>
      <c r="B33" s="296" t="s">
        <v>175</v>
      </c>
      <c r="C33" s="285" t="s">
        <v>12</v>
      </c>
      <c r="D33" s="285" t="s">
        <v>14</v>
      </c>
      <c r="E33" s="285" t="s">
        <v>13</v>
      </c>
      <c r="F33" s="285" t="s">
        <v>9</v>
      </c>
      <c r="G33" s="285" t="s">
        <v>164</v>
      </c>
      <c r="H33" s="285" t="s">
        <v>2</v>
      </c>
      <c r="I33" s="285" t="s">
        <v>3</v>
      </c>
      <c r="J33" s="285" t="s">
        <v>148</v>
      </c>
      <c r="K33" s="285" t="s">
        <v>96</v>
      </c>
      <c r="L33" s="285" t="s">
        <v>4</v>
      </c>
      <c r="M33" s="285" t="s">
        <v>5</v>
      </c>
      <c r="N33" s="285" t="s">
        <v>6</v>
      </c>
      <c r="O33" s="285" t="s">
        <v>7</v>
      </c>
      <c r="P33" s="286" t="s">
        <v>8</v>
      </c>
      <c r="Q33" s="47"/>
      <c r="R33" s="47"/>
      <c r="S33" s="47"/>
      <c r="T33" s="47"/>
    </row>
    <row r="34" spans="1:20" ht="40.200000000000003" thickBot="1" x14ac:dyDescent="0.3">
      <c r="A34" s="335">
        <v>1</v>
      </c>
      <c r="B34" s="338" t="s">
        <v>387</v>
      </c>
      <c r="C34" s="291" t="s">
        <v>400</v>
      </c>
      <c r="D34" s="291" t="s">
        <v>401</v>
      </c>
      <c r="E34" s="292" t="s">
        <v>402</v>
      </c>
      <c r="F34" s="292" t="s">
        <v>254</v>
      </c>
      <c r="G34" s="292" t="s">
        <v>388</v>
      </c>
      <c r="H34" s="292" t="s">
        <v>295</v>
      </c>
      <c r="I34" s="292" t="s">
        <v>254</v>
      </c>
      <c r="J34" s="292" t="s">
        <v>254</v>
      </c>
      <c r="K34" s="292" t="s">
        <v>254</v>
      </c>
      <c r="L34" s="292" t="s">
        <v>254</v>
      </c>
      <c r="M34" s="292" t="s">
        <v>254</v>
      </c>
      <c r="N34" s="292" t="s">
        <v>735</v>
      </c>
      <c r="O34" s="291" t="s">
        <v>401</v>
      </c>
      <c r="P34" s="292" t="s">
        <v>736</v>
      </c>
      <c r="Q34" s="47"/>
      <c r="R34" s="47"/>
      <c r="S34" s="47"/>
      <c r="T34" s="47"/>
    </row>
    <row r="35" spans="1:20" ht="66.599999999999994" thickBot="1" x14ac:dyDescent="0.3">
      <c r="A35" s="335">
        <v>2</v>
      </c>
      <c r="B35" s="338" t="s">
        <v>389</v>
      </c>
      <c r="C35" s="270" t="s">
        <v>403</v>
      </c>
      <c r="D35" s="270" t="s">
        <v>403</v>
      </c>
      <c r="E35" s="270" t="s">
        <v>404</v>
      </c>
      <c r="F35" s="270" t="s">
        <v>405</v>
      </c>
      <c r="G35" s="270" t="s">
        <v>388</v>
      </c>
      <c r="H35" s="270" t="s">
        <v>295</v>
      </c>
      <c r="I35" s="270" t="s">
        <v>406</v>
      </c>
      <c r="J35" s="270" t="s">
        <v>407</v>
      </c>
      <c r="K35" s="270" t="s">
        <v>737</v>
      </c>
      <c r="L35" s="270" t="s">
        <v>738</v>
      </c>
      <c r="M35" s="270" t="s">
        <v>739</v>
      </c>
      <c r="N35" s="270" t="s">
        <v>740</v>
      </c>
      <c r="O35" s="270" t="s">
        <v>741</v>
      </c>
      <c r="P35" s="270" t="s">
        <v>742</v>
      </c>
      <c r="Q35" s="47"/>
      <c r="R35" s="47"/>
      <c r="S35" s="47"/>
      <c r="T35" s="47"/>
    </row>
    <row r="36" spans="1:20" ht="28.8" thickBot="1" x14ac:dyDescent="0.3">
      <c r="A36" s="297">
        <v>3</v>
      </c>
      <c r="B36" s="338" t="s">
        <v>390</v>
      </c>
      <c r="C36" s="294"/>
      <c r="D36" s="294">
        <v>45904</v>
      </c>
      <c r="E36" s="294" t="s">
        <v>408</v>
      </c>
      <c r="F36" s="294" t="s">
        <v>254</v>
      </c>
      <c r="G36" s="294" t="s">
        <v>409</v>
      </c>
      <c r="H36" s="294" t="s">
        <v>409</v>
      </c>
      <c r="I36" s="294" t="s">
        <v>409</v>
      </c>
      <c r="J36" s="294"/>
      <c r="K36" s="294" t="s">
        <v>743</v>
      </c>
      <c r="L36" s="294"/>
      <c r="M36" s="294" t="s">
        <v>744</v>
      </c>
      <c r="N36" s="294" t="s">
        <v>745</v>
      </c>
      <c r="O36" s="294">
        <v>45930</v>
      </c>
      <c r="P36" s="294">
        <v>45904</v>
      </c>
      <c r="Q36" s="47"/>
      <c r="R36" s="47"/>
      <c r="S36" s="47"/>
      <c r="T36" s="47"/>
    </row>
    <row r="37" spans="1:20" ht="13.8" thickBot="1" x14ac:dyDescent="0.3"/>
    <row r="38" spans="1:20" ht="13.8" thickBot="1" x14ac:dyDescent="0.3">
      <c r="B38" s="211" t="s">
        <v>132</v>
      </c>
    </row>
    <row r="39" spans="1:20" x14ac:dyDescent="0.25">
      <c r="A39" s="287" t="s">
        <v>0</v>
      </c>
      <c r="B39" s="339" t="s">
        <v>175</v>
      </c>
      <c r="C39" s="340" t="s">
        <v>92</v>
      </c>
      <c r="D39" s="340" t="s">
        <v>93</v>
      </c>
      <c r="E39" s="340" t="s">
        <v>94</v>
      </c>
      <c r="F39" s="340" t="s">
        <v>95</v>
      </c>
    </row>
    <row r="40" spans="1:20" x14ac:dyDescent="0.25">
      <c r="A40" s="288">
        <v>1</v>
      </c>
      <c r="B40" s="289" t="s">
        <v>387</v>
      </c>
      <c r="C40" s="290" t="s">
        <v>295</v>
      </c>
      <c r="D40" s="290" t="s">
        <v>295</v>
      </c>
      <c r="E40" s="290" t="s">
        <v>295</v>
      </c>
      <c r="F40" s="290" t="s">
        <v>295</v>
      </c>
    </row>
    <row r="41" spans="1:20" x14ac:dyDescent="0.25">
      <c r="A41" s="288">
        <v>2</v>
      </c>
      <c r="B41" s="293" t="s">
        <v>389</v>
      </c>
      <c r="C41" s="341" t="s">
        <v>295</v>
      </c>
      <c r="D41" s="341" t="s">
        <v>734</v>
      </c>
      <c r="E41" s="341" t="s">
        <v>734</v>
      </c>
      <c r="F41" s="341" t="s">
        <v>734</v>
      </c>
    </row>
    <row r="42" spans="1:20" ht="25.8" x14ac:dyDescent="0.25">
      <c r="A42" s="288">
        <v>3</v>
      </c>
      <c r="B42" s="293" t="s">
        <v>390</v>
      </c>
      <c r="C42" s="341" t="s">
        <v>479</v>
      </c>
      <c r="D42" s="341"/>
      <c r="E42" s="341"/>
      <c r="F42" s="341"/>
    </row>
  </sheetData>
  <phoneticPr fontId="3" type="noConversion"/>
  <conditionalFormatting sqref="I1">
    <cfRule type="containsText" dxfId="27" priority="9" stopIfTrue="1" operator="containsText" text="None">
      <formula>NOT(ISERROR(SEARCH("None",I1)))</formula>
    </cfRule>
    <cfRule type="containsText" dxfId="26" priority="10" stopIfTrue="1" operator="containsText" text="Exchange in use">
      <formula>NOT(ISERROR(SEARCH("Exchange in use",I1)))</formula>
    </cfRule>
    <cfRule type="containsText" dxfId="25" priority="11" stopIfTrue="1" operator="containsText" text="Exchange in Use-Issues">
      <formula>NOT(ISERROR(SEARCH("Exchange in Use-Issues",I1)))</formula>
    </cfRule>
    <cfRule type="containsText" dxfId="24" priority="12" stopIfTrue="1" operator="containsText" text="Domino in use-issues">
      <formula>NOT(ISERROR(SEARCH("Domino in use-issues",I1)))</formula>
    </cfRule>
  </conditionalFormatting>
  <conditionalFormatting sqref="C33:P33">
    <cfRule type="containsText" dxfId="23" priority="5" stopIfTrue="1" operator="containsText" text="None">
      <formula>NOT(ISERROR(SEARCH("None",C33)))</formula>
    </cfRule>
    <cfRule type="containsText" dxfId="22" priority="6" stopIfTrue="1" operator="containsText" text="Exchange in use">
      <formula>NOT(ISERROR(SEARCH("Exchange in use",C33)))</formula>
    </cfRule>
    <cfRule type="containsText" dxfId="21" priority="7" stopIfTrue="1" operator="containsText" text="Exchange in Use-Issues">
      <formula>NOT(ISERROR(SEARCH("Exchange in Use-Issues",C33)))</formula>
    </cfRule>
    <cfRule type="containsText" dxfId="20" priority="8" stopIfTrue="1" operator="containsText" text="Domino in use-issues">
      <formula>NOT(ISERROR(SEARCH("Domino in use-issues",C33)))</formula>
    </cfRule>
  </conditionalFormatting>
  <conditionalFormatting sqref="F1">
    <cfRule type="containsText" dxfId="19" priority="1" stopIfTrue="1" operator="containsText" text="None">
      <formula>NOT(ISERROR(SEARCH("None",F1)))</formula>
    </cfRule>
    <cfRule type="containsText" dxfId="18" priority="2" stopIfTrue="1" operator="containsText" text="Exchange in use">
      <formula>NOT(ISERROR(SEARCH("Exchange in use",F1)))</formula>
    </cfRule>
    <cfRule type="containsText" dxfId="17" priority="3" stopIfTrue="1" operator="containsText" text="Exchange in Use-Issues">
      <formula>NOT(ISERROR(SEARCH("Exchange in Use-Issues",F1)))</formula>
    </cfRule>
    <cfRule type="containsText" dxfId="16" priority="4" stopIfTrue="1" operator="containsText" text="Domino in use-issues">
      <formula>NOT(ISERROR(SEARCH("Domino in use-issues",F1)))</formula>
    </cfRule>
  </conditionalFormatting>
  <dataValidations count="2">
    <dataValidation type="list" allowBlank="1" showInputMessage="1" showErrorMessage="1" sqref="C3:N4 C15:J17 C9:J12 C22:J23">
      <formula1>Backup</formula1>
    </dataValidation>
    <dataValidation type="list" allowBlank="1" showInputMessage="1" showErrorMessage="1" sqref="C40:F40 C34 C36 L36:M36 J36">
      <formula1>Backup</formula1>
    </dataValidation>
  </dataValidations>
  <pageMargins left="0.75" right="0.75" top="1" bottom="1" header="0.5" footer="0.5"/>
  <pageSetup paperSize="9" orientation="portrait" horizont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V77"/>
  <sheetViews>
    <sheetView workbookViewId="0">
      <selection activeCell="K1" sqref="K1"/>
    </sheetView>
  </sheetViews>
  <sheetFormatPr defaultColWidth="9.109375" defaultRowHeight="13.2" x14ac:dyDescent="0.25"/>
  <cols>
    <col min="1" max="1" width="38.33203125" style="67" customWidth="1"/>
    <col min="2" max="2" width="14.33203125" style="109" bestFit="1" customWidth="1"/>
    <col min="3" max="3" width="14.33203125" style="66" bestFit="1" customWidth="1"/>
    <col min="4" max="4" width="14.6640625" style="66" bestFit="1" customWidth="1"/>
    <col min="5" max="6" width="14.33203125" style="66" bestFit="1" customWidth="1"/>
    <col min="7" max="7" width="15.33203125" style="66" bestFit="1" customWidth="1"/>
    <col min="8" max="8" width="14.109375" style="66" bestFit="1" customWidth="1"/>
    <col min="9" max="9" width="15.33203125" style="66" bestFit="1" customWidth="1"/>
    <col min="10" max="10" width="15.44140625" style="66" bestFit="1" customWidth="1"/>
    <col min="11" max="13" width="14.109375" style="66" bestFit="1" customWidth="1"/>
    <col min="14" max="14" width="14.109375" style="67" bestFit="1" customWidth="1"/>
    <col min="15" max="15" width="13" style="68" bestFit="1" customWidth="1"/>
    <col min="16" max="16" width="15.109375" style="68" bestFit="1" customWidth="1"/>
    <col min="17" max="17" width="14.109375" style="68" bestFit="1" customWidth="1"/>
    <col min="18" max="18" width="15.44140625" style="68" bestFit="1" customWidth="1"/>
    <col min="19" max="16384" width="9.109375" style="68"/>
  </cols>
  <sheetData>
    <row r="1" spans="1:14" ht="13.8" thickBot="1" x14ac:dyDescent="0.3">
      <c r="A1" s="64" t="s">
        <v>43</v>
      </c>
      <c r="B1" s="65"/>
      <c r="C1" s="57"/>
      <c r="J1" s="49" t="s">
        <v>165</v>
      </c>
      <c r="K1" s="49">
        <f>'Infrastructure and Systems'!M2</f>
        <v>45930</v>
      </c>
    </row>
    <row r="2" spans="1:14" s="70" customFormat="1" thickBot="1" x14ac:dyDescent="0.25">
      <c r="A2" s="69" t="s">
        <v>1</v>
      </c>
      <c r="B2" s="59" t="s">
        <v>118</v>
      </c>
      <c r="C2" s="59" t="s">
        <v>119</v>
      </c>
      <c r="D2" s="59" t="s">
        <v>120</v>
      </c>
      <c r="E2" s="59" t="s">
        <v>122</v>
      </c>
      <c r="F2" s="59" t="s">
        <v>121</v>
      </c>
      <c r="G2" s="59" t="s">
        <v>123</v>
      </c>
      <c r="H2" s="59" t="s">
        <v>124</v>
      </c>
      <c r="I2" s="59" t="s">
        <v>114</v>
      </c>
      <c r="J2" s="59" t="s">
        <v>125</v>
      </c>
      <c r="K2" s="59" t="s">
        <v>126</v>
      </c>
      <c r="L2" s="59" t="s">
        <v>161</v>
      </c>
      <c r="M2" s="59" t="s">
        <v>130</v>
      </c>
      <c r="N2" s="60" t="s">
        <v>131</v>
      </c>
    </row>
    <row r="3" spans="1:14" s="72" customFormat="1" ht="13.8" thickBot="1" x14ac:dyDescent="0.3">
      <c r="A3" s="71" t="s">
        <v>113</v>
      </c>
      <c r="B3" s="194">
        <v>168896.79</v>
      </c>
      <c r="C3" s="194">
        <v>181420</v>
      </c>
      <c r="D3" s="194">
        <v>116487.47</v>
      </c>
      <c r="E3" s="194">
        <v>24000.75</v>
      </c>
      <c r="F3" s="194">
        <v>26783</v>
      </c>
      <c r="G3" s="194">
        <v>70121.37</v>
      </c>
      <c r="H3" s="194">
        <v>507991.43</v>
      </c>
      <c r="I3" s="194">
        <v>92217.600000000006</v>
      </c>
      <c r="J3" s="194">
        <v>168896.79</v>
      </c>
      <c r="K3" s="194">
        <v>25100</v>
      </c>
      <c r="L3" s="194">
        <v>62309.599999999999</v>
      </c>
      <c r="M3" s="194">
        <v>63741.26</v>
      </c>
      <c r="N3" s="195">
        <f>SUM(B3:M3)</f>
        <v>1507966.0600000003</v>
      </c>
    </row>
    <row r="4" spans="1:14" s="73" customFormat="1" ht="13.8" thickBot="1" x14ac:dyDescent="0.3">
      <c r="A4" s="71" t="s">
        <v>115</v>
      </c>
      <c r="B4" s="194">
        <v>0</v>
      </c>
      <c r="C4" s="194" t="s">
        <v>193</v>
      </c>
      <c r="D4" s="194">
        <v>396253.80000000005</v>
      </c>
      <c r="E4" s="194">
        <v>0</v>
      </c>
      <c r="F4" s="194">
        <v>0</v>
      </c>
      <c r="G4" s="194" t="s">
        <v>193</v>
      </c>
      <c r="H4" s="194">
        <v>0</v>
      </c>
      <c r="I4" s="194">
        <v>0</v>
      </c>
      <c r="J4" s="194">
        <v>0</v>
      </c>
      <c r="K4" s="194">
        <v>889000</v>
      </c>
      <c r="L4" s="194">
        <v>0</v>
      </c>
      <c r="M4" s="194">
        <v>0</v>
      </c>
      <c r="N4" s="195">
        <f t="shared" ref="N4:N10" si="0">SUM(B4:M4)</f>
        <v>1285253.8</v>
      </c>
    </row>
    <row r="5" spans="1:14" s="70" customFormat="1" ht="13.8" thickBot="1" x14ac:dyDescent="0.25">
      <c r="A5" s="74" t="s">
        <v>166</v>
      </c>
      <c r="B5" s="194">
        <v>168896.79</v>
      </c>
      <c r="C5" s="194">
        <v>181420</v>
      </c>
      <c r="D5" s="194">
        <v>512741.27</v>
      </c>
      <c r="E5" s="194">
        <v>24000.75</v>
      </c>
      <c r="F5" s="194">
        <v>26783</v>
      </c>
      <c r="G5" s="194">
        <v>70121.37</v>
      </c>
      <c r="H5" s="194">
        <v>507991.43</v>
      </c>
      <c r="I5" s="194">
        <v>92217.600000000006</v>
      </c>
      <c r="J5" s="194">
        <v>168896.79</v>
      </c>
      <c r="K5" s="194">
        <v>914100</v>
      </c>
      <c r="L5" s="194">
        <v>62309.599999999999</v>
      </c>
      <c r="M5" s="194">
        <v>63741.26</v>
      </c>
      <c r="N5" s="195">
        <f t="shared" si="0"/>
        <v>2793219.86</v>
      </c>
    </row>
    <row r="6" spans="1:14" s="75" customFormat="1" ht="13.8" thickBot="1" x14ac:dyDescent="0.25">
      <c r="A6" s="71" t="s">
        <v>171</v>
      </c>
      <c r="B6" s="194">
        <v>465516.79000000004</v>
      </c>
      <c r="C6" s="194">
        <v>538470</v>
      </c>
      <c r="D6" s="194">
        <v>175977.09</v>
      </c>
      <c r="E6" s="194">
        <v>234062.5</v>
      </c>
      <c r="F6" s="194">
        <v>370125</v>
      </c>
      <c r="G6" s="194">
        <v>292859.37</v>
      </c>
      <c r="H6" s="194">
        <v>1084650.43</v>
      </c>
      <c r="I6" s="194">
        <v>175635.24</v>
      </c>
      <c r="J6" s="194">
        <v>223971.79</v>
      </c>
      <c r="K6" s="194">
        <v>249158</v>
      </c>
      <c r="L6" s="194">
        <v>169619.6</v>
      </c>
      <c r="M6" s="194">
        <v>348741.26</v>
      </c>
      <c r="N6" s="195">
        <f t="shared" si="0"/>
        <v>4328787.07</v>
      </c>
    </row>
    <row r="7" spans="1:14" s="75" customFormat="1" ht="13.8" thickBot="1" x14ac:dyDescent="0.25">
      <c r="A7" s="71" t="s">
        <v>172</v>
      </c>
      <c r="B7" s="194"/>
      <c r="C7" s="194"/>
      <c r="D7" s="194">
        <v>396253.80000000005</v>
      </c>
      <c r="E7" s="194">
        <v>1331680</v>
      </c>
      <c r="F7" s="194"/>
      <c r="G7" s="194"/>
      <c r="H7" s="194"/>
      <c r="I7" s="194"/>
      <c r="J7" s="194"/>
      <c r="K7" s="194">
        <v>889000</v>
      </c>
      <c r="L7" s="194"/>
      <c r="M7" s="194"/>
      <c r="N7" s="195">
        <f t="shared" si="0"/>
        <v>2616933.7999999998</v>
      </c>
    </row>
    <row r="8" spans="1:14" s="70" customFormat="1" ht="25.8" thickBot="1" x14ac:dyDescent="0.25">
      <c r="A8" s="76" t="s">
        <v>173</v>
      </c>
      <c r="B8" s="195">
        <v>465516.79000000004</v>
      </c>
      <c r="C8" s="195">
        <v>538470</v>
      </c>
      <c r="D8" s="195">
        <v>572230.89</v>
      </c>
      <c r="E8" s="195">
        <v>1565742.5</v>
      </c>
      <c r="F8" s="195">
        <v>370125</v>
      </c>
      <c r="G8" s="195">
        <v>292859.37</v>
      </c>
      <c r="H8" s="195">
        <v>1084650.43</v>
      </c>
      <c r="I8" s="195">
        <v>175635.24</v>
      </c>
      <c r="J8" s="195">
        <v>223971.79</v>
      </c>
      <c r="K8" s="195">
        <v>1138158</v>
      </c>
      <c r="L8" s="195">
        <v>169619.6</v>
      </c>
      <c r="M8" s="195">
        <v>348741.26</v>
      </c>
      <c r="N8" s="195">
        <f t="shared" si="0"/>
        <v>6945720.8700000001</v>
      </c>
    </row>
    <row r="9" spans="1:14" s="70" customFormat="1" ht="13.8" thickBot="1" x14ac:dyDescent="0.25">
      <c r="A9" s="76" t="s">
        <v>198</v>
      </c>
      <c r="B9" s="194"/>
      <c r="C9" s="194"/>
      <c r="D9" s="194"/>
      <c r="E9" s="194"/>
      <c r="F9" s="194"/>
      <c r="G9" s="194"/>
      <c r="H9" s="194"/>
      <c r="I9" s="194"/>
      <c r="J9" s="194"/>
      <c r="K9" s="194"/>
      <c r="L9" s="194"/>
      <c r="M9" s="194"/>
      <c r="N9" s="195"/>
    </row>
    <row r="10" spans="1:14" s="70" customFormat="1" ht="13.8" thickBot="1" x14ac:dyDescent="0.25">
      <c r="A10" s="76" t="s">
        <v>174</v>
      </c>
      <c r="B10" s="194"/>
      <c r="C10" s="194"/>
      <c r="D10" s="194"/>
      <c r="E10" s="194"/>
      <c r="F10" s="194"/>
      <c r="G10" s="194"/>
      <c r="H10" s="194"/>
      <c r="I10" s="194"/>
      <c r="J10" s="194"/>
      <c r="K10" s="194"/>
      <c r="L10" s="194"/>
      <c r="M10" s="194"/>
      <c r="N10" s="195">
        <f t="shared" si="0"/>
        <v>0</v>
      </c>
    </row>
    <row r="11" spans="1:14" s="82" customFormat="1" x14ac:dyDescent="0.25">
      <c r="A11" s="77"/>
      <c r="B11" s="78"/>
      <c r="C11" s="79"/>
      <c r="D11" s="78"/>
      <c r="E11" s="78"/>
      <c r="F11" s="78"/>
      <c r="G11" s="79"/>
      <c r="H11" s="79"/>
      <c r="I11" s="79"/>
      <c r="J11" s="79"/>
      <c r="K11" s="79"/>
      <c r="L11" s="80"/>
      <c r="M11" s="79"/>
      <c r="N11" s="81"/>
    </row>
    <row r="12" spans="1:14" s="86" customFormat="1" thickBot="1" x14ac:dyDescent="0.25">
      <c r="A12" s="64" t="s">
        <v>44</v>
      </c>
      <c r="B12" s="83"/>
      <c r="C12" s="84"/>
      <c r="D12" s="85"/>
      <c r="E12" s="84"/>
      <c r="F12" s="84"/>
      <c r="G12" s="84"/>
      <c r="H12" s="84"/>
      <c r="I12" s="84"/>
      <c r="J12" s="84"/>
      <c r="K12" s="84"/>
      <c r="L12" s="84"/>
      <c r="M12" s="84"/>
      <c r="N12" s="84"/>
    </row>
    <row r="13" spans="1:14" s="86" customFormat="1" thickBot="1" x14ac:dyDescent="0.25">
      <c r="A13" s="69" t="s">
        <v>175</v>
      </c>
      <c r="B13" s="59" t="s">
        <v>68</v>
      </c>
      <c r="C13" s="59" t="s">
        <v>69</v>
      </c>
      <c r="D13" s="59" t="s">
        <v>70</v>
      </c>
      <c r="E13" s="59" t="s">
        <v>71</v>
      </c>
      <c r="F13" s="59" t="s">
        <v>72</v>
      </c>
      <c r="G13" s="59" t="s">
        <v>73</v>
      </c>
      <c r="H13" s="59" t="s">
        <v>74</v>
      </c>
      <c r="I13" s="59" t="s">
        <v>75</v>
      </c>
      <c r="J13" s="59" t="s">
        <v>76</v>
      </c>
      <c r="K13" s="60" t="s">
        <v>129</v>
      </c>
      <c r="L13" s="81"/>
      <c r="M13" s="84"/>
      <c r="N13" s="84"/>
    </row>
    <row r="14" spans="1:14" s="91" customFormat="1" ht="13.8" thickBot="1" x14ac:dyDescent="0.3">
      <c r="A14" s="87" t="s">
        <v>176</v>
      </c>
      <c r="B14" s="194">
        <v>16700</v>
      </c>
      <c r="C14" s="194" t="s">
        <v>190</v>
      </c>
      <c r="D14" s="194" t="s">
        <v>190</v>
      </c>
      <c r="E14" s="194" t="s">
        <v>190</v>
      </c>
      <c r="F14" s="194" t="s">
        <v>190</v>
      </c>
      <c r="G14" s="194" t="s">
        <v>391</v>
      </c>
      <c r="H14" s="194">
        <v>110000</v>
      </c>
      <c r="I14" s="194" t="s">
        <v>190</v>
      </c>
      <c r="J14" s="194">
        <v>66368</v>
      </c>
      <c r="K14" s="88">
        <f t="shared" ref="K14:K19" si="1">SUM(B14:J14)</f>
        <v>193068</v>
      </c>
      <c r="L14" s="89"/>
      <c r="M14" s="90"/>
    </row>
    <row r="15" spans="1:14" s="91" customFormat="1" ht="13.8" thickBot="1" x14ac:dyDescent="0.3">
      <c r="A15" s="87" t="s">
        <v>177</v>
      </c>
      <c r="B15" s="194" t="s">
        <v>190</v>
      </c>
      <c r="C15" s="194" t="s">
        <v>190</v>
      </c>
      <c r="D15" s="194" t="s">
        <v>190</v>
      </c>
      <c r="E15" s="194" t="s">
        <v>190</v>
      </c>
      <c r="F15" s="194" t="s">
        <v>190</v>
      </c>
      <c r="G15" s="194" t="s">
        <v>190</v>
      </c>
      <c r="H15" s="194" t="s">
        <v>190</v>
      </c>
      <c r="I15" s="194" t="s">
        <v>392</v>
      </c>
      <c r="J15" s="194" t="s">
        <v>393</v>
      </c>
      <c r="K15" s="195">
        <f t="shared" si="1"/>
        <v>0</v>
      </c>
      <c r="L15" s="89"/>
      <c r="M15" s="90"/>
    </row>
    <row r="16" spans="1:14" s="91" customFormat="1" ht="13.8" thickBot="1" x14ac:dyDescent="0.3">
      <c r="A16" s="87" t="s">
        <v>191</v>
      </c>
      <c r="B16" s="194">
        <v>16700</v>
      </c>
      <c r="C16" s="194" t="s">
        <v>190</v>
      </c>
      <c r="D16" s="194" t="s">
        <v>190</v>
      </c>
      <c r="E16" s="194" t="s">
        <v>190</v>
      </c>
      <c r="F16" s="194" t="s">
        <v>190</v>
      </c>
      <c r="G16" s="194">
        <v>50168</v>
      </c>
      <c r="H16" s="194">
        <v>110000</v>
      </c>
      <c r="I16" s="194" t="s">
        <v>190</v>
      </c>
      <c r="J16" s="194">
        <v>114368</v>
      </c>
      <c r="K16" s="88">
        <f t="shared" si="1"/>
        <v>291236</v>
      </c>
      <c r="L16" s="89"/>
      <c r="M16" s="90"/>
    </row>
    <row r="17" spans="1:14" s="199" customFormat="1" thickBot="1" x14ac:dyDescent="0.25">
      <c r="A17" s="198" t="s">
        <v>178</v>
      </c>
      <c r="B17" s="195">
        <v>43900</v>
      </c>
      <c r="C17" s="195" t="s">
        <v>190</v>
      </c>
      <c r="D17" s="195" t="s">
        <v>179</v>
      </c>
      <c r="E17" s="195" t="s">
        <v>180</v>
      </c>
      <c r="F17" s="195" t="s">
        <v>181</v>
      </c>
      <c r="G17" s="195">
        <v>50168</v>
      </c>
      <c r="H17" s="195" t="s">
        <v>394</v>
      </c>
      <c r="I17" s="195" t="s">
        <v>190</v>
      </c>
      <c r="J17" s="195" t="s">
        <v>395</v>
      </c>
      <c r="K17" s="195">
        <f t="shared" si="1"/>
        <v>94068</v>
      </c>
      <c r="L17" s="98"/>
      <c r="M17" s="98"/>
      <c r="N17" s="98"/>
    </row>
    <row r="18" spans="1:14" s="199" customFormat="1" thickBot="1" x14ac:dyDescent="0.25">
      <c r="A18" s="198" t="s">
        <v>182</v>
      </c>
      <c r="B18" s="195" t="s">
        <v>192</v>
      </c>
      <c r="C18" s="195" t="s">
        <v>192</v>
      </c>
      <c r="D18" s="195" t="s">
        <v>192</v>
      </c>
      <c r="E18" s="195" t="s">
        <v>192</v>
      </c>
      <c r="F18" s="195" t="s">
        <v>192</v>
      </c>
      <c r="G18" s="195" t="s">
        <v>192</v>
      </c>
      <c r="H18" s="195" t="s">
        <v>192</v>
      </c>
      <c r="I18" s="195" t="s">
        <v>192</v>
      </c>
      <c r="J18" s="195" t="s">
        <v>396</v>
      </c>
      <c r="K18" s="195">
        <f t="shared" si="1"/>
        <v>0</v>
      </c>
      <c r="L18" s="98"/>
      <c r="M18" s="98"/>
      <c r="N18" s="98"/>
    </row>
    <row r="19" spans="1:14" s="199" customFormat="1" thickBot="1" x14ac:dyDescent="0.25">
      <c r="A19" s="198" t="s">
        <v>183</v>
      </c>
      <c r="B19" s="195">
        <v>43900</v>
      </c>
      <c r="C19" s="195" t="s">
        <v>192</v>
      </c>
      <c r="D19" s="195" t="s">
        <v>184</v>
      </c>
      <c r="E19" s="195" t="s">
        <v>185</v>
      </c>
      <c r="F19" s="195" t="s">
        <v>186</v>
      </c>
      <c r="G19" s="195" t="s">
        <v>397</v>
      </c>
      <c r="H19" s="195" t="s">
        <v>398</v>
      </c>
      <c r="I19" s="195" t="s">
        <v>399</v>
      </c>
      <c r="J19" s="195">
        <v>599626</v>
      </c>
      <c r="K19" s="195">
        <f t="shared" si="1"/>
        <v>643526</v>
      </c>
      <c r="L19" s="98"/>
      <c r="M19" s="98"/>
      <c r="N19" s="98"/>
    </row>
    <row r="20" spans="1:14" s="199" customFormat="1" thickBot="1" x14ac:dyDescent="0.25">
      <c r="A20" s="198" t="s">
        <v>198</v>
      </c>
      <c r="B20" s="195"/>
      <c r="C20" s="204"/>
      <c r="D20" s="195"/>
      <c r="E20" s="195"/>
      <c r="F20" s="195"/>
      <c r="G20" s="195"/>
      <c r="H20" s="195"/>
      <c r="I20" s="195"/>
      <c r="J20" s="195"/>
      <c r="K20" s="195"/>
      <c r="L20" s="98"/>
      <c r="M20" s="98"/>
      <c r="N20" s="98"/>
    </row>
    <row r="21" spans="1:14" s="199" customFormat="1" thickBot="1" x14ac:dyDescent="0.25">
      <c r="A21" s="198" t="s">
        <v>187</v>
      </c>
      <c r="B21" s="195"/>
      <c r="C21" s="195"/>
      <c r="D21" s="195"/>
      <c r="E21" s="195"/>
      <c r="F21" s="195"/>
      <c r="G21" s="195"/>
      <c r="H21" s="195"/>
      <c r="I21" s="195"/>
      <c r="J21" s="195"/>
      <c r="K21" s="195"/>
      <c r="L21" s="98"/>
      <c r="M21" s="98"/>
      <c r="N21" s="98"/>
    </row>
    <row r="22" spans="1:14" s="86" customFormat="1" ht="12.6" x14ac:dyDescent="0.2">
      <c r="A22" s="95"/>
      <c r="B22" s="96"/>
      <c r="C22" s="96"/>
      <c r="D22" s="96"/>
      <c r="E22" s="96"/>
      <c r="F22" s="96"/>
      <c r="G22" s="96"/>
      <c r="H22" s="96"/>
      <c r="I22" s="96"/>
      <c r="J22" s="96"/>
      <c r="K22" s="97"/>
      <c r="M22" s="92"/>
      <c r="N22" s="94"/>
    </row>
    <row r="23" spans="1:14" s="86" customFormat="1" thickBot="1" x14ac:dyDescent="0.25">
      <c r="B23" s="98"/>
      <c r="C23" s="98"/>
      <c r="D23" s="98"/>
      <c r="E23" s="98"/>
      <c r="G23" s="98"/>
      <c r="H23" s="98"/>
      <c r="J23" s="84"/>
      <c r="K23" s="84"/>
      <c r="L23" s="84"/>
      <c r="M23" s="84"/>
      <c r="N23" s="83"/>
    </row>
    <row r="24" spans="1:14" s="86" customFormat="1" thickBot="1" x14ac:dyDescent="0.25">
      <c r="A24" s="197" t="s">
        <v>45</v>
      </c>
      <c r="B24" s="98"/>
      <c r="C24" s="98"/>
      <c r="D24" s="98"/>
      <c r="E24" s="98"/>
      <c r="G24" s="98"/>
      <c r="H24" s="98"/>
      <c r="J24" s="84"/>
      <c r="K24" s="84"/>
      <c r="L24" s="84"/>
      <c r="M24" s="84"/>
      <c r="N24" s="83"/>
    </row>
    <row r="25" spans="1:14" s="91" customFormat="1" ht="13.8" thickBot="1" x14ac:dyDescent="0.3">
      <c r="A25" s="69" t="s">
        <v>1</v>
      </c>
      <c r="B25" s="61" t="s">
        <v>84</v>
      </c>
      <c r="C25" s="59" t="s">
        <v>85</v>
      </c>
      <c r="D25" s="59" t="s">
        <v>86</v>
      </c>
      <c r="E25" s="59" t="s">
        <v>194</v>
      </c>
      <c r="F25" s="59" t="s">
        <v>88</v>
      </c>
      <c r="G25" s="59" t="s">
        <v>89</v>
      </c>
      <c r="H25" s="59" t="s">
        <v>195</v>
      </c>
      <c r="I25" s="59" t="s">
        <v>91</v>
      </c>
      <c r="J25" s="60" t="s">
        <v>129</v>
      </c>
    </row>
    <row r="26" spans="1:14" s="91" customFormat="1" ht="13.8" thickBot="1" x14ac:dyDescent="0.3">
      <c r="A26" s="99" t="s">
        <v>113</v>
      </c>
      <c r="B26" s="194">
        <v>64500</v>
      </c>
      <c r="C26" s="194">
        <v>52600</v>
      </c>
      <c r="D26" s="194">
        <v>76800</v>
      </c>
      <c r="E26" s="194">
        <v>86000</v>
      </c>
      <c r="F26" s="194">
        <v>111749.93</v>
      </c>
      <c r="G26" s="194">
        <v>57866.6</v>
      </c>
      <c r="H26" s="194">
        <v>26800</v>
      </c>
      <c r="I26" s="194">
        <v>101335.54</v>
      </c>
      <c r="J26" s="195">
        <f>SUM(B26:I26)</f>
        <v>577652.06999999995</v>
      </c>
    </row>
    <row r="27" spans="1:14" s="86" customFormat="1" ht="13.8" thickBot="1" x14ac:dyDescent="0.25">
      <c r="A27" s="99" t="s">
        <v>115</v>
      </c>
      <c r="B27" s="194">
        <v>0</v>
      </c>
      <c r="C27" s="194">
        <v>0</v>
      </c>
      <c r="D27" s="194" t="s">
        <v>196</v>
      </c>
      <c r="E27" s="194">
        <v>0</v>
      </c>
      <c r="F27" s="194">
        <v>0</v>
      </c>
      <c r="G27" s="194"/>
      <c r="H27" s="194">
        <v>0</v>
      </c>
      <c r="I27" s="194">
        <v>0</v>
      </c>
      <c r="J27" s="195">
        <f t="shared" ref="J27:J33" si="2">SUM(B27:I27)</f>
        <v>0</v>
      </c>
    </row>
    <row r="28" spans="1:14" s="91" customFormat="1" ht="13.8" thickBot="1" x14ac:dyDescent="0.3">
      <c r="A28" s="100" t="s">
        <v>116</v>
      </c>
      <c r="B28" s="194"/>
      <c r="C28" s="194"/>
      <c r="D28" s="194"/>
      <c r="E28" s="194"/>
      <c r="F28" s="194"/>
      <c r="G28" s="194"/>
      <c r="H28" s="194"/>
      <c r="I28" s="194"/>
      <c r="J28" s="195">
        <f t="shared" si="2"/>
        <v>0</v>
      </c>
    </row>
    <row r="29" spans="1:14" s="91" customFormat="1" ht="13.8" thickBot="1" x14ac:dyDescent="0.3">
      <c r="A29" s="99" t="s">
        <v>127</v>
      </c>
      <c r="B29" s="194">
        <v>630000</v>
      </c>
      <c r="C29" s="194">
        <v>528000</v>
      </c>
      <c r="D29" s="194">
        <v>245500</v>
      </c>
      <c r="E29" s="194">
        <v>230660</v>
      </c>
      <c r="F29" s="194">
        <v>411592.65</v>
      </c>
      <c r="G29" s="194">
        <v>639425.77</v>
      </c>
      <c r="H29" s="194" t="s">
        <v>197</v>
      </c>
      <c r="I29" s="194">
        <v>261132.2</v>
      </c>
      <c r="J29" s="195">
        <f t="shared" si="2"/>
        <v>2946310.62</v>
      </c>
      <c r="K29" s="101"/>
      <c r="L29" s="101"/>
      <c r="M29" s="101"/>
      <c r="N29" s="101"/>
    </row>
    <row r="30" spans="1:14" s="86" customFormat="1" ht="13.8" thickBot="1" x14ac:dyDescent="0.25">
      <c r="A30" s="99" t="s">
        <v>128</v>
      </c>
      <c r="B30" s="194"/>
      <c r="C30" s="194"/>
      <c r="D30" s="194" t="s">
        <v>196</v>
      </c>
      <c r="E30" s="194"/>
      <c r="F30" s="194"/>
      <c r="G30" s="194"/>
      <c r="H30" s="194"/>
      <c r="I30" s="194"/>
      <c r="J30" s="195">
        <f t="shared" si="2"/>
        <v>0</v>
      </c>
      <c r="K30" s="84"/>
      <c r="L30" s="84"/>
      <c r="M30" s="84"/>
      <c r="N30" s="84"/>
    </row>
    <row r="31" spans="1:14" s="86" customFormat="1" ht="13.8" thickBot="1" x14ac:dyDescent="0.25">
      <c r="A31" s="100" t="s">
        <v>167</v>
      </c>
      <c r="B31" s="194"/>
      <c r="C31" s="194"/>
      <c r="D31" s="194"/>
      <c r="E31" s="194"/>
      <c r="F31" s="194"/>
      <c r="G31" s="194"/>
      <c r="H31" s="194"/>
      <c r="I31" s="194"/>
      <c r="J31" s="195">
        <f t="shared" si="2"/>
        <v>0</v>
      </c>
      <c r="K31" s="84"/>
      <c r="L31" s="84"/>
      <c r="M31" s="84"/>
      <c r="N31" s="84"/>
    </row>
    <row r="32" spans="1:14" s="86" customFormat="1" ht="13.8" thickBot="1" x14ac:dyDescent="0.25">
      <c r="A32" s="100" t="s">
        <v>198</v>
      </c>
      <c r="B32" s="194"/>
      <c r="C32" s="194"/>
      <c r="D32" s="194"/>
      <c r="E32" s="194"/>
      <c r="F32" s="194"/>
      <c r="G32" s="194"/>
      <c r="H32" s="194"/>
      <c r="I32" s="194"/>
      <c r="J32" s="195"/>
      <c r="K32" s="84"/>
      <c r="L32" s="84"/>
      <c r="M32" s="84"/>
      <c r="N32" s="84"/>
    </row>
    <row r="33" spans="1:18" ht="13.8" thickBot="1" x14ac:dyDescent="0.3">
      <c r="A33" s="100" t="s">
        <v>162</v>
      </c>
      <c r="B33" s="102">
        <v>23500000</v>
      </c>
      <c r="C33" s="102">
        <v>15000000</v>
      </c>
      <c r="D33" s="102">
        <v>13500000</v>
      </c>
      <c r="E33" s="102">
        <v>24718302</v>
      </c>
      <c r="F33" s="102">
        <v>15830000</v>
      </c>
      <c r="G33" s="102">
        <v>13500000</v>
      </c>
      <c r="H33" s="102">
        <v>15531411</v>
      </c>
      <c r="I33" s="102">
        <v>32275600</v>
      </c>
      <c r="J33" s="195">
        <f t="shared" si="2"/>
        <v>153855313</v>
      </c>
    </row>
    <row r="34" spans="1:18" ht="13.8" thickBot="1" x14ac:dyDescent="0.3">
      <c r="A34" s="81"/>
      <c r="B34" s="103"/>
      <c r="C34" s="103"/>
      <c r="D34" s="103"/>
      <c r="E34" s="103"/>
      <c r="F34" s="103"/>
      <c r="G34" s="103"/>
      <c r="H34" s="103"/>
      <c r="I34" s="103"/>
      <c r="J34" s="103"/>
    </row>
    <row r="35" spans="1:18" ht="13.8" thickBot="1" x14ac:dyDescent="0.3">
      <c r="A35" s="197" t="s">
        <v>46</v>
      </c>
      <c r="B35" s="72"/>
      <c r="C35" s="68"/>
      <c r="D35" s="68"/>
      <c r="E35" s="68"/>
      <c r="F35" s="104"/>
      <c r="G35" s="68"/>
      <c r="H35" s="68"/>
      <c r="I35" s="68"/>
      <c r="J35" s="68"/>
    </row>
    <row r="36" spans="1:18" s="86" customFormat="1" thickBot="1" x14ac:dyDescent="0.25">
      <c r="A36" s="105" t="s">
        <v>175</v>
      </c>
      <c r="B36" s="62" t="s">
        <v>111</v>
      </c>
      <c r="C36" s="62" t="s">
        <v>109</v>
      </c>
      <c r="D36" s="62" t="s">
        <v>108</v>
      </c>
      <c r="E36" s="62" t="s">
        <v>107</v>
      </c>
      <c r="F36" s="62" t="s">
        <v>106</v>
      </c>
      <c r="G36" s="62" t="s">
        <v>149</v>
      </c>
      <c r="H36" s="62" t="s">
        <v>104</v>
      </c>
      <c r="I36" s="62" t="s">
        <v>110</v>
      </c>
      <c r="J36" s="63" t="s">
        <v>129</v>
      </c>
    </row>
    <row r="37" spans="1:18" s="86" customFormat="1" ht="13.8" thickBot="1" x14ac:dyDescent="0.25">
      <c r="A37" s="87" t="s">
        <v>176</v>
      </c>
      <c r="B37" s="194">
        <v>57500</v>
      </c>
      <c r="C37" s="194">
        <v>0</v>
      </c>
      <c r="D37" s="194">
        <v>55595</v>
      </c>
      <c r="E37" s="194">
        <v>78000</v>
      </c>
      <c r="F37" s="194">
        <v>58250</v>
      </c>
      <c r="G37" s="194">
        <v>0</v>
      </c>
      <c r="H37" s="194">
        <v>62946.6</v>
      </c>
      <c r="I37" s="194">
        <v>45002</v>
      </c>
      <c r="J37" s="195">
        <f>SUM(B37:I37)</f>
        <v>357293.6</v>
      </c>
    </row>
    <row r="38" spans="1:18" s="91" customFormat="1" ht="13.8" thickBot="1" x14ac:dyDescent="0.3">
      <c r="A38" s="87" t="s">
        <v>177</v>
      </c>
      <c r="B38" s="194">
        <v>0</v>
      </c>
      <c r="C38" s="194">
        <v>0</v>
      </c>
      <c r="D38" s="194">
        <v>184699</v>
      </c>
      <c r="E38" s="194">
        <v>0</v>
      </c>
      <c r="F38" s="194">
        <v>0</v>
      </c>
      <c r="G38" s="194">
        <v>0</v>
      </c>
      <c r="H38" s="194">
        <v>0</v>
      </c>
      <c r="I38" s="194">
        <v>0</v>
      </c>
      <c r="J38" s="195">
        <f t="shared" ref="J38:J43" si="3">SUM(B38:I38)</f>
        <v>184699</v>
      </c>
    </row>
    <row r="39" spans="1:18" s="86" customFormat="1" ht="13.8" thickBot="1" x14ac:dyDescent="0.25">
      <c r="A39" s="87" t="s">
        <v>191</v>
      </c>
      <c r="B39" s="194">
        <v>57500</v>
      </c>
      <c r="C39" s="194">
        <v>0</v>
      </c>
      <c r="D39" s="194">
        <v>240294</v>
      </c>
      <c r="E39" s="194">
        <v>78000</v>
      </c>
      <c r="F39" s="194">
        <v>58250</v>
      </c>
      <c r="G39" s="194">
        <v>0</v>
      </c>
      <c r="H39" s="194">
        <v>62946.6</v>
      </c>
      <c r="I39" s="194">
        <v>45002</v>
      </c>
      <c r="J39" s="195">
        <f t="shared" si="3"/>
        <v>541992.6</v>
      </c>
    </row>
    <row r="40" spans="1:18" s="86" customFormat="1" ht="13.8" thickBot="1" x14ac:dyDescent="0.25">
      <c r="A40" s="87" t="s">
        <v>178</v>
      </c>
      <c r="B40" s="194">
        <v>160053.89000000001</v>
      </c>
      <c r="C40" s="194">
        <v>0</v>
      </c>
      <c r="D40" s="194">
        <v>322365.75</v>
      </c>
      <c r="E40" s="194">
        <v>156000</v>
      </c>
      <c r="F40" s="194">
        <v>133350</v>
      </c>
      <c r="G40" s="194">
        <v>225220</v>
      </c>
      <c r="H40" s="194">
        <v>142387.1</v>
      </c>
      <c r="I40" s="194">
        <v>111267.23</v>
      </c>
      <c r="J40" s="195">
        <f t="shared" si="3"/>
        <v>1250643.97</v>
      </c>
      <c r="K40" s="84"/>
      <c r="L40" s="84"/>
      <c r="M40" s="84"/>
      <c r="N40" s="84"/>
    </row>
    <row r="41" spans="1:18" s="91" customFormat="1" ht="13.8" thickBot="1" x14ac:dyDescent="0.3">
      <c r="A41" s="93" t="s">
        <v>182</v>
      </c>
      <c r="B41" s="195">
        <v>0</v>
      </c>
      <c r="C41" s="195">
        <v>0</v>
      </c>
      <c r="D41" s="195">
        <v>774899</v>
      </c>
      <c r="E41" s="195">
        <v>0</v>
      </c>
      <c r="F41" s="195">
        <v>0</v>
      </c>
      <c r="G41" s="195">
        <v>0</v>
      </c>
      <c r="H41" s="195">
        <v>0</v>
      </c>
      <c r="I41" s="195">
        <v>0</v>
      </c>
      <c r="J41" s="195">
        <f t="shared" si="3"/>
        <v>774899</v>
      </c>
      <c r="K41" s="101"/>
      <c r="L41" s="101"/>
      <c r="M41" s="101"/>
      <c r="N41" s="101"/>
    </row>
    <row r="42" spans="1:18" s="91" customFormat="1" ht="13.8" thickBot="1" x14ac:dyDescent="0.3">
      <c r="A42" s="93" t="s">
        <v>183</v>
      </c>
      <c r="B42" s="195">
        <v>160053.89000000001</v>
      </c>
      <c r="C42" s="195">
        <v>0</v>
      </c>
      <c r="D42" s="195">
        <v>1097264.75</v>
      </c>
      <c r="E42" s="195">
        <v>234000</v>
      </c>
      <c r="F42" s="195">
        <v>133350</v>
      </c>
      <c r="G42" s="195">
        <v>225220</v>
      </c>
      <c r="H42" s="195">
        <v>142387.1</v>
      </c>
      <c r="I42" s="195">
        <v>111267.23</v>
      </c>
      <c r="J42" s="195">
        <f t="shared" si="3"/>
        <v>2103542.9700000002</v>
      </c>
      <c r="K42" s="101"/>
      <c r="L42" s="101"/>
      <c r="M42" s="101"/>
      <c r="N42" s="101"/>
    </row>
    <row r="43" spans="1:18" s="91" customFormat="1" ht="53.4" thickBot="1" x14ac:dyDescent="0.3">
      <c r="A43" s="93" t="s">
        <v>198</v>
      </c>
      <c r="B43" s="205"/>
      <c r="C43" s="205" t="s">
        <v>165</v>
      </c>
      <c r="D43" s="205" t="s">
        <v>165</v>
      </c>
      <c r="E43" s="205" t="s">
        <v>165</v>
      </c>
      <c r="F43" s="205" t="s">
        <v>165</v>
      </c>
      <c r="G43" s="205" t="s">
        <v>165</v>
      </c>
      <c r="H43" s="205" t="s">
        <v>199</v>
      </c>
      <c r="I43" s="205" t="s">
        <v>199</v>
      </c>
      <c r="J43" s="205">
        <f t="shared" si="3"/>
        <v>0</v>
      </c>
      <c r="K43" s="101"/>
      <c r="L43" s="101"/>
      <c r="M43" s="101"/>
      <c r="N43" s="101"/>
    </row>
    <row r="44" spans="1:18" s="91" customFormat="1" ht="13.8" thickBot="1" x14ac:dyDescent="0.3">
      <c r="A44" s="106" t="s">
        <v>187</v>
      </c>
      <c r="B44" s="107"/>
      <c r="C44" s="107">
        <v>15000000</v>
      </c>
      <c r="D44" s="107">
        <v>16679960</v>
      </c>
      <c r="E44" s="107">
        <v>15512000</v>
      </c>
      <c r="F44" s="107">
        <v>6000000</v>
      </c>
      <c r="G44" s="107">
        <v>13870000</v>
      </c>
      <c r="H44" s="107">
        <v>21680000</v>
      </c>
      <c r="I44" s="107">
        <v>21680000</v>
      </c>
      <c r="J44" s="108">
        <f>SUM(C44:I44)</f>
        <v>110421960</v>
      </c>
      <c r="K44" s="101"/>
      <c r="L44" s="101"/>
      <c r="M44" s="101"/>
      <c r="N44" s="101"/>
    </row>
    <row r="45" spans="1:18" s="91" customFormat="1" ht="13.8" thickBot="1" x14ac:dyDescent="0.3">
      <c r="A45" s="81"/>
      <c r="B45" s="86"/>
      <c r="C45" s="86"/>
      <c r="D45" s="86"/>
      <c r="E45" s="86"/>
      <c r="F45" s="86"/>
      <c r="G45" s="86"/>
      <c r="H45" s="86"/>
      <c r="I45" s="86"/>
      <c r="J45" s="82"/>
      <c r="K45" s="101"/>
      <c r="L45" s="101"/>
      <c r="M45" s="101"/>
      <c r="N45" s="101"/>
    </row>
    <row r="46" spans="1:18" ht="13.8" thickBot="1" x14ac:dyDescent="0.3">
      <c r="A46" s="197" t="s">
        <v>47</v>
      </c>
      <c r="J46" s="48"/>
    </row>
    <row r="47" spans="1:18" s="110" customFormat="1" thickBot="1" x14ac:dyDescent="0.25">
      <c r="A47" s="59" t="s">
        <v>175</v>
      </c>
      <c r="B47" s="59" t="s">
        <v>135</v>
      </c>
      <c r="C47" s="59" t="s">
        <v>136</v>
      </c>
      <c r="D47" s="59" t="s">
        <v>137</v>
      </c>
      <c r="E47" s="59" t="s">
        <v>138</v>
      </c>
      <c r="F47" s="59" t="s">
        <v>156</v>
      </c>
      <c r="G47" s="59" t="s">
        <v>139</v>
      </c>
      <c r="H47" s="59" t="s">
        <v>140</v>
      </c>
      <c r="I47" s="59" t="s">
        <v>141</v>
      </c>
      <c r="J47" s="59" t="s">
        <v>157</v>
      </c>
      <c r="K47" s="59" t="s">
        <v>147</v>
      </c>
      <c r="L47" s="59" t="s">
        <v>142</v>
      </c>
      <c r="M47" s="59" t="s">
        <v>143</v>
      </c>
      <c r="N47" s="59" t="s">
        <v>160</v>
      </c>
      <c r="O47" s="59" t="s">
        <v>144</v>
      </c>
      <c r="P47" s="59" t="s">
        <v>158</v>
      </c>
      <c r="Q47" s="59" t="s">
        <v>145</v>
      </c>
      <c r="R47" s="60" t="s">
        <v>129</v>
      </c>
    </row>
    <row r="48" spans="1:18" s="113" customFormat="1" ht="13.8" thickBot="1" x14ac:dyDescent="0.3">
      <c r="A48" s="111" t="s">
        <v>151</v>
      </c>
      <c r="B48" s="194">
        <v>1350</v>
      </c>
      <c r="C48" s="194">
        <v>20000</v>
      </c>
      <c r="D48" s="194">
        <v>54000</v>
      </c>
      <c r="E48" s="194">
        <v>57000</v>
      </c>
      <c r="F48" s="194">
        <v>2700</v>
      </c>
      <c r="G48" s="194">
        <v>56500</v>
      </c>
      <c r="H48" s="194">
        <v>0</v>
      </c>
      <c r="I48" s="194">
        <v>0</v>
      </c>
      <c r="J48" s="194">
        <v>28900</v>
      </c>
      <c r="K48" s="194">
        <v>35941.96</v>
      </c>
      <c r="L48" s="194">
        <v>21000</v>
      </c>
      <c r="M48" s="194">
        <v>0</v>
      </c>
      <c r="N48" s="194">
        <v>0</v>
      </c>
      <c r="O48" s="194">
        <v>0</v>
      </c>
      <c r="P48" s="194">
        <v>22584</v>
      </c>
      <c r="Q48" s="194">
        <v>0</v>
      </c>
      <c r="R48" s="112">
        <f>SUM(B48:Q48)</f>
        <v>299975.95999999996</v>
      </c>
    </row>
    <row r="49" spans="1:22" s="113" customFormat="1" ht="13.8" thickBot="1" x14ac:dyDescent="0.3">
      <c r="A49" s="114" t="s">
        <v>152</v>
      </c>
      <c r="B49" s="194">
        <v>0</v>
      </c>
      <c r="C49" s="194">
        <v>0</v>
      </c>
      <c r="D49" s="194">
        <v>0</v>
      </c>
      <c r="E49" s="194">
        <v>0</v>
      </c>
      <c r="F49" s="194">
        <v>0</v>
      </c>
      <c r="G49" s="194">
        <v>0</v>
      </c>
      <c r="H49" s="194">
        <v>0</v>
      </c>
      <c r="I49" s="194">
        <v>0</v>
      </c>
      <c r="J49" s="194">
        <v>0</v>
      </c>
      <c r="K49" s="194">
        <v>56079.07</v>
      </c>
      <c r="L49" s="194">
        <v>0</v>
      </c>
      <c r="M49" s="194">
        <v>0</v>
      </c>
      <c r="N49" s="194">
        <v>162400</v>
      </c>
      <c r="O49" s="194">
        <v>0</v>
      </c>
      <c r="P49" s="194">
        <v>0</v>
      </c>
      <c r="Q49" s="194">
        <v>80040</v>
      </c>
      <c r="R49" s="115">
        <f t="shared" ref="R49:R55" si="4">SUM(B49:Q49)</f>
        <v>298519.07</v>
      </c>
    </row>
    <row r="50" spans="1:22" s="110" customFormat="1" ht="13.8" thickBot="1" x14ac:dyDescent="0.25">
      <c r="A50" s="116" t="s">
        <v>153</v>
      </c>
      <c r="B50" s="194">
        <v>1350</v>
      </c>
      <c r="C50" s="194">
        <v>20000</v>
      </c>
      <c r="D50" s="194">
        <v>54000</v>
      </c>
      <c r="E50" s="194">
        <v>57000</v>
      </c>
      <c r="F50" s="194">
        <v>2700</v>
      </c>
      <c r="G50" s="194">
        <v>56500</v>
      </c>
      <c r="H50" s="194">
        <v>0</v>
      </c>
      <c r="I50" s="194">
        <v>0</v>
      </c>
      <c r="J50" s="194">
        <v>28900</v>
      </c>
      <c r="K50" s="194">
        <v>92021.03</v>
      </c>
      <c r="L50" s="194">
        <v>21000</v>
      </c>
      <c r="M50" s="194">
        <v>0</v>
      </c>
      <c r="N50" s="194">
        <v>162400</v>
      </c>
      <c r="O50" s="194">
        <v>0</v>
      </c>
      <c r="P50" s="194">
        <v>22584</v>
      </c>
      <c r="Q50" s="194">
        <v>80040</v>
      </c>
      <c r="R50" s="115">
        <f t="shared" si="4"/>
        <v>598495.03</v>
      </c>
    </row>
    <row r="51" spans="1:22" s="113" customFormat="1" ht="13.8" thickBot="1" x14ac:dyDescent="0.3">
      <c r="A51" s="114" t="s">
        <v>150</v>
      </c>
      <c r="B51" s="194">
        <v>16300</v>
      </c>
      <c r="C51" s="194">
        <v>0</v>
      </c>
      <c r="D51" s="194">
        <v>391000</v>
      </c>
      <c r="E51" s="194">
        <v>120000</v>
      </c>
      <c r="F51" s="194">
        <v>4050</v>
      </c>
      <c r="G51" s="194">
        <v>113500</v>
      </c>
      <c r="H51" s="194">
        <v>85376</v>
      </c>
      <c r="I51" s="194">
        <v>0</v>
      </c>
      <c r="J51" s="194">
        <v>67400</v>
      </c>
      <c r="K51" s="194">
        <v>428066.96</v>
      </c>
      <c r="L51" s="194">
        <v>243806</v>
      </c>
      <c r="M51" s="194">
        <v>327037.90000000002</v>
      </c>
      <c r="N51" s="194">
        <v>5600</v>
      </c>
      <c r="O51" s="194">
        <v>0</v>
      </c>
      <c r="P51" s="194">
        <v>239117</v>
      </c>
      <c r="Q51" s="194">
        <v>121299</v>
      </c>
      <c r="R51" s="115">
        <f t="shared" si="4"/>
        <v>2162552.86</v>
      </c>
    </row>
    <row r="52" spans="1:22" s="203" customFormat="1" ht="13.8" thickBot="1" x14ac:dyDescent="0.25">
      <c r="A52" s="200" t="s">
        <v>128</v>
      </c>
      <c r="B52" s="195">
        <v>0</v>
      </c>
      <c r="C52" s="195">
        <v>20000</v>
      </c>
      <c r="D52" s="195">
        <v>0</v>
      </c>
      <c r="E52" s="195">
        <v>0</v>
      </c>
      <c r="F52" s="195">
        <v>0</v>
      </c>
      <c r="G52" s="195">
        <v>0</v>
      </c>
      <c r="H52" s="195">
        <v>8000</v>
      </c>
      <c r="I52" s="195">
        <v>0</v>
      </c>
      <c r="J52" s="195">
        <v>0</v>
      </c>
      <c r="K52" s="195">
        <v>308619.07</v>
      </c>
      <c r="L52" s="195">
        <v>0</v>
      </c>
      <c r="M52" s="195">
        <v>99000</v>
      </c>
      <c r="N52" s="195">
        <v>235480</v>
      </c>
      <c r="O52" s="195">
        <v>0</v>
      </c>
      <c r="P52" s="194">
        <v>0</v>
      </c>
      <c r="Q52" s="194">
        <v>80040</v>
      </c>
      <c r="R52" s="195">
        <f t="shared" si="4"/>
        <v>751139.07000000007</v>
      </c>
    </row>
    <row r="53" spans="1:22" s="203" customFormat="1" ht="13.8" thickBot="1" x14ac:dyDescent="0.25">
      <c r="A53" s="200" t="s">
        <v>188</v>
      </c>
      <c r="B53" s="201">
        <v>16300</v>
      </c>
      <c r="C53" s="195">
        <v>20000</v>
      </c>
      <c r="D53" s="195">
        <v>391000</v>
      </c>
      <c r="E53" s="195">
        <v>120000</v>
      </c>
      <c r="F53" s="195">
        <v>4050</v>
      </c>
      <c r="G53" s="195">
        <v>113500</v>
      </c>
      <c r="H53" s="195">
        <v>93376</v>
      </c>
      <c r="I53" s="195">
        <v>0</v>
      </c>
      <c r="J53" s="195">
        <v>67400</v>
      </c>
      <c r="K53" s="195">
        <v>736686.03</v>
      </c>
      <c r="L53" s="195">
        <v>222806</v>
      </c>
      <c r="M53" s="195">
        <v>427037.9</v>
      </c>
      <c r="N53" s="195">
        <v>241080</v>
      </c>
      <c r="O53" s="195">
        <v>0</v>
      </c>
      <c r="P53" s="194">
        <v>239553</v>
      </c>
      <c r="Q53" s="194">
        <v>201339</v>
      </c>
      <c r="R53" s="195">
        <f t="shared" si="4"/>
        <v>2894127.93</v>
      </c>
    </row>
    <row r="54" spans="1:22" s="203" customFormat="1" thickBot="1" x14ac:dyDescent="0.25">
      <c r="A54" s="100" t="s">
        <v>198</v>
      </c>
      <c r="B54" s="201"/>
      <c r="C54" s="201"/>
      <c r="D54" s="201"/>
      <c r="E54" s="201"/>
      <c r="F54" s="201"/>
      <c r="G54" s="201"/>
      <c r="H54" s="201"/>
      <c r="I54" s="201"/>
      <c r="J54" s="201"/>
      <c r="K54" s="201"/>
      <c r="L54" s="201"/>
      <c r="M54" s="201"/>
      <c r="N54" s="201"/>
      <c r="O54" s="201"/>
      <c r="P54" s="201"/>
      <c r="Q54" s="201"/>
      <c r="R54" s="195">
        <v>0</v>
      </c>
    </row>
    <row r="55" spans="1:22" s="203" customFormat="1" thickBot="1" x14ac:dyDescent="0.25">
      <c r="A55" s="200" t="s">
        <v>189</v>
      </c>
      <c r="B55" s="201">
        <v>15836000</v>
      </c>
      <c r="C55" s="201">
        <v>24655000</v>
      </c>
      <c r="D55" s="201">
        <v>31572000</v>
      </c>
      <c r="E55" s="201">
        <v>32666600</v>
      </c>
      <c r="F55" s="201">
        <v>15170000</v>
      </c>
      <c r="G55" s="201">
        <v>29850000</v>
      </c>
      <c r="H55" s="201">
        <v>28052000</v>
      </c>
      <c r="I55" s="201">
        <v>8495000</v>
      </c>
      <c r="J55" s="201">
        <v>31685900</v>
      </c>
      <c r="K55" s="201">
        <v>14500000</v>
      </c>
      <c r="L55" s="201">
        <v>11305000</v>
      </c>
      <c r="M55" s="201">
        <v>23440000</v>
      </c>
      <c r="N55" s="201">
        <v>22266000</v>
      </c>
      <c r="O55" s="201">
        <v>7530000</v>
      </c>
      <c r="P55" s="201">
        <v>18000000</v>
      </c>
      <c r="Q55" s="201">
        <v>33302000</v>
      </c>
      <c r="R55" s="202">
        <f t="shared" si="4"/>
        <v>348325500</v>
      </c>
    </row>
    <row r="56" spans="1:22" s="118" customFormat="1" ht="13.8" thickBot="1" x14ac:dyDescent="0.3">
      <c r="A56" s="81"/>
      <c r="B56" s="80"/>
      <c r="C56" s="80"/>
      <c r="D56" s="117"/>
      <c r="E56" s="80"/>
      <c r="G56" s="89"/>
      <c r="H56" s="80"/>
      <c r="I56" s="80"/>
      <c r="J56" s="80"/>
      <c r="K56" s="80"/>
      <c r="L56" s="80"/>
      <c r="M56" s="80"/>
      <c r="N56" s="80"/>
      <c r="O56" s="119"/>
      <c r="Q56" s="81"/>
      <c r="R56" s="110"/>
      <c r="V56" s="120"/>
    </row>
    <row r="57" spans="1:22" ht="13.8" thickBot="1" x14ac:dyDescent="0.3">
      <c r="A57" s="197" t="s">
        <v>27</v>
      </c>
      <c r="B57" s="80"/>
      <c r="C57" s="80"/>
      <c r="D57" s="117"/>
      <c r="E57" s="117"/>
      <c r="F57" s="68"/>
      <c r="G57" s="68"/>
      <c r="H57" s="68"/>
      <c r="I57" s="68"/>
      <c r="J57" s="68"/>
      <c r="K57" s="89"/>
      <c r="L57" s="121"/>
      <c r="M57" s="122"/>
      <c r="N57" s="121"/>
      <c r="O57" s="122"/>
      <c r="P57" s="123"/>
    </row>
    <row r="58" spans="1:22" s="123" customFormat="1" ht="13.8" thickBot="1" x14ac:dyDescent="0.3">
      <c r="A58" s="124" t="s">
        <v>1</v>
      </c>
      <c r="B58" s="125" t="s">
        <v>12</v>
      </c>
      <c r="C58" s="125" t="s">
        <v>14</v>
      </c>
      <c r="D58" s="125" t="s">
        <v>13</v>
      </c>
      <c r="E58" s="125" t="s">
        <v>9</v>
      </c>
      <c r="F58" s="125" t="s">
        <v>164</v>
      </c>
      <c r="G58" s="125" t="s">
        <v>2</v>
      </c>
      <c r="H58" s="125" t="s">
        <v>3</v>
      </c>
      <c r="I58" s="125" t="s">
        <v>148</v>
      </c>
      <c r="J58" s="125" t="s">
        <v>96</v>
      </c>
      <c r="K58" s="125" t="s">
        <v>4</v>
      </c>
      <c r="L58" s="125" t="s">
        <v>5</v>
      </c>
      <c r="M58" s="125" t="s">
        <v>6</v>
      </c>
      <c r="N58" s="125" t="s">
        <v>7</v>
      </c>
      <c r="O58" s="125" t="s">
        <v>8</v>
      </c>
      <c r="P58" s="126" t="s">
        <v>129</v>
      </c>
      <c r="Q58" s="68"/>
    </row>
    <row r="59" spans="1:22" s="123" customFormat="1" ht="13.8" thickBot="1" x14ac:dyDescent="0.25">
      <c r="A59" s="127" t="s">
        <v>113</v>
      </c>
      <c r="B59" s="194">
        <v>254420.34</v>
      </c>
      <c r="C59" s="194">
        <v>0</v>
      </c>
      <c r="D59" s="194">
        <v>71983.210000000006</v>
      </c>
      <c r="E59" s="194">
        <v>0</v>
      </c>
      <c r="F59" s="194">
        <v>0</v>
      </c>
      <c r="G59" s="194">
        <v>0</v>
      </c>
      <c r="H59" s="194">
        <v>11400</v>
      </c>
      <c r="I59" s="194">
        <v>45172.09</v>
      </c>
      <c r="J59" s="194">
        <v>66279.399999999994</v>
      </c>
      <c r="K59" s="194">
        <v>16000</v>
      </c>
      <c r="L59" s="194">
        <v>4182</v>
      </c>
      <c r="M59" s="194">
        <v>0</v>
      </c>
      <c r="N59" s="194">
        <v>17640.52</v>
      </c>
      <c r="O59" s="194">
        <v>12175</v>
      </c>
      <c r="P59" s="195">
        <f t="shared" ref="P59:P64" si="5">SUM(B59:O59)</f>
        <v>499252.56000000006</v>
      </c>
    </row>
    <row r="60" spans="1:22" ht="13.8" thickBot="1" x14ac:dyDescent="0.3">
      <c r="A60" s="128" t="s">
        <v>115</v>
      </c>
      <c r="B60" s="194">
        <v>0</v>
      </c>
      <c r="C60" s="194">
        <v>0</v>
      </c>
      <c r="D60" s="194">
        <v>0</v>
      </c>
      <c r="E60" s="194">
        <v>0</v>
      </c>
      <c r="F60" s="194">
        <v>0</v>
      </c>
      <c r="G60" s="194">
        <v>0</v>
      </c>
      <c r="H60" s="194">
        <v>0</v>
      </c>
      <c r="I60" s="194">
        <v>0</v>
      </c>
      <c r="J60" s="194">
        <v>0</v>
      </c>
      <c r="K60" s="194">
        <v>0</v>
      </c>
      <c r="L60" s="194">
        <v>0</v>
      </c>
      <c r="M60" s="194">
        <v>0</v>
      </c>
      <c r="N60" s="194">
        <v>0</v>
      </c>
      <c r="O60" s="194">
        <v>0</v>
      </c>
      <c r="P60" s="195">
        <f t="shared" si="5"/>
        <v>0</v>
      </c>
    </row>
    <row r="61" spans="1:22" s="123" customFormat="1" ht="13.8" thickBot="1" x14ac:dyDescent="0.25">
      <c r="A61" s="128" t="s">
        <v>116</v>
      </c>
      <c r="B61" s="194">
        <v>254420.34</v>
      </c>
      <c r="C61" s="194">
        <v>0</v>
      </c>
      <c r="D61" s="194">
        <v>71983.210000000006</v>
      </c>
      <c r="E61" s="194">
        <v>0</v>
      </c>
      <c r="F61" s="194">
        <v>0</v>
      </c>
      <c r="G61" s="194">
        <v>0</v>
      </c>
      <c r="H61" s="194">
        <v>11400</v>
      </c>
      <c r="I61" s="194">
        <v>45172.09</v>
      </c>
      <c r="J61" s="194">
        <v>66279.399999999994</v>
      </c>
      <c r="K61" s="194">
        <v>16000</v>
      </c>
      <c r="L61" s="194">
        <v>4182</v>
      </c>
      <c r="M61" s="194">
        <v>0</v>
      </c>
      <c r="N61" s="194">
        <v>17640.52</v>
      </c>
      <c r="O61" s="194">
        <v>12175</v>
      </c>
      <c r="P61" s="195">
        <f t="shared" si="5"/>
        <v>499252.56000000006</v>
      </c>
    </row>
    <row r="62" spans="1:22" s="123" customFormat="1" ht="13.8" thickBot="1" x14ac:dyDescent="0.3">
      <c r="A62" s="128" t="s">
        <v>127</v>
      </c>
      <c r="B62" s="194">
        <v>308184.34000000003</v>
      </c>
      <c r="C62" s="194">
        <v>222726.75</v>
      </c>
      <c r="D62" s="194">
        <v>168273.9</v>
      </c>
      <c r="E62" s="194">
        <v>88140</v>
      </c>
      <c r="F62" s="194">
        <v>5000</v>
      </c>
      <c r="G62" s="194">
        <v>206369.54</v>
      </c>
      <c r="H62" s="194">
        <v>171713.17</v>
      </c>
      <c r="I62" s="194">
        <v>168363.3</v>
      </c>
      <c r="J62" s="194">
        <v>299878.40000000002</v>
      </c>
      <c r="K62" s="194">
        <v>60920</v>
      </c>
      <c r="L62" s="194">
        <v>31562</v>
      </c>
      <c r="M62" s="194">
        <v>209645.69</v>
      </c>
      <c r="N62" s="194">
        <v>112236</v>
      </c>
      <c r="O62" s="194">
        <v>40774</v>
      </c>
      <c r="P62" s="195">
        <f t="shared" si="5"/>
        <v>2093787.0900000003</v>
      </c>
      <c r="Q62" s="68"/>
    </row>
    <row r="63" spans="1:22" s="123" customFormat="1" ht="13.8" thickBot="1" x14ac:dyDescent="0.25">
      <c r="A63" s="128" t="s">
        <v>128</v>
      </c>
      <c r="B63" s="194">
        <v>0</v>
      </c>
      <c r="C63" s="194">
        <v>0</v>
      </c>
      <c r="D63" s="194">
        <v>0</v>
      </c>
      <c r="E63" s="194">
        <v>135000</v>
      </c>
      <c r="F63" s="194">
        <v>0</v>
      </c>
      <c r="G63" s="194">
        <v>0</v>
      </c>
      <c r="H63" s="194">
        <v>0</v>
      </c>
      <c r="I63" s="194">
        <v>46000</v>
      </c>
      <c r="J63" s="194">
        <v>0</v>
      </c>
      <c r="K63" s="194">
        <v>0</v>
      </c>
      <c r="L63" s="194">
        <v>0</v>
      </c>
      <c r="M63" s="194">
        <v>0</v>
      </c>
      <c r="N63" s="194">
        <v>0</v>
      </c>
      <c r="O63" s="194">
        <v>0</v>
      </c>
      <c r="P63" s="195">
        <f t="shared" si="5"/>
        <v>181000</v>
      </c>
    </row>
    <row r="64" spans="1:22" s="123" customFormat="1" thickBot="1" x14ac:dyDescent="0.25">
      <c r="A64" s="196" t="s">
        <v>168</v>
      </c>
      <c r="B64" s="195">
        <v>308184.34000000003</v>
      </c>
      <c r="C64" s="195">
        <v>222726.75</v>
      </c>
      <c r="D64" s="195">
        <v>168273.9</v>
      </c>
      <c r="E64" s="195">
        <v>223140</v>
      </c>
      <c r="F64" s="195">
        <v>5000</v>
      </c>
      <c r="G64" s="195">
        <v>206369.54</v>
      </c>
      <c r="H64" s="195">
        <v>171713.17</v>
      </c>
      <c r="I64" s="195">
        <v>214363.3</v>
      </c>
      <c r="J64" s="195">
        <v>299878.40000000002</v>
      </c>
      <c r="K64" s="195">
        <v>60920</v>
      </c>
      <c r="L64" s="195">
        <v>31562</v>
      </c>
      <c r="M64" s="195">
        <v>209645.69</v>
      </c>
      <c r="N64" s="195">
        <v>112236</v>
      </c>
      <c r="O64" s="195">
        <v>40774</v>
      </c>
      <c r="P64" s="195">
        <f t="shared" si="5"/>
        <v>2274787.09</v>
      </c>
    </row>
    <row r="65" spans="1:16" s="123" customFormat="1" thickBot="1" x14ac:dyDescent="0.25">
      <c r="A65" s="100" t="s">
        <v>198</v>
      </c>
      <c r="B65" s="195">
        <v>0</v>
      </c>
      <c r="C65" s="195">
        <v>0</v>
      </c>
      <c r="D65" s="195">
        <v>0</v>
      </c>
      <c r="E65" s="195">
        <v>0</v>
      </c>
      <c r="F65" s="195">
        <v>0</v>
      </c>
      <c r="G65" s="195">
        <v>0</v>
      </c>
      <c r="H65" s="195">
        <v>0</v>
      </c>
      <c r="I65" s="195">
        <v>0</v>
      </c>
      <c r="J65" s="195">
        <v>0</v>
      </c>
      <c r="K65" s="195">
        <v>0</v>
      </c>
      <c r="L65" s="195">
        <v>0</v>
      </c>
      <c r="M65" s="195">
        <v>0</v>
      </c>
      <c r="N65" s="195">
        <v>0</v>
      </c>
      <c r="O65" s="195">
        <v>0</v>
      </c>
      <c r="P65" s="195">
        <v>0</v>
      </c>
    </row>
    <row r="66" spans="1:16" s="123" customFormat="1" thickBot="1" x14ac:dyDescent="0.25">
      <c r="A66" s="100" t="s">
        <v>169</v>
      </c>
      <c r="B66" s="195">
        <v>0</v>
      </c>
      <c r="C66" s="195">
        <v>27710000</v>
      </c>
      <c r="D66" s="195">
        <v>0</v>
      </c>
      <c r="E66" s="195">
        <v>0</v>
      </c>
      <c r="F66" s="195">
        <v>0</v>
      </c>
      <c r="G66" s="195">
        <v>0</v>
      </c>
      <c r="H66" s="195">
        <v>4000000</v>
      </c>
      <c r="I66" s="195">
        <v>0</v>
      </c>
      <c r="J66" s="195">
        <v>10210000</v>
      </c>
      <c r="K66" s="195">
        <v>0</v>
      </c>
      <c r="L66" s="195">
        <v>0</v>
      </c>
      <c r="M66" s="195">
        <v>0</v>
      </c>
      <c r="N66" s="195">
        <v>0</v>
      </c>
      <c r="O66" s="195">
        <v>0</v>
      </c>
      <c r="P66" s="195">
        <f>SUM(B66:O66)</f>
        <v>41920000</v>
      </c>
    </row>
    <row r="67" spans="1:16" ht="13.8" thickBot="1" x14ac:dyDescent="0.3">
      <c r="A67" s="123"/>
      <c r="B67" s="129"/>
      <c r="C67" s="129"/>
      <c r="D67" s="129"/>
      <c r="E67" s="129"/>
      <c r="F67" s="129"/>
      <c r="G67" s="68"/>
      <c r="H67" s="68"/>
    </row>
    <row r="68" spans="1:16" s="123" customFormat="1" ht="13.8" thickBot="1" x14ac:dyDescent="0.25">
      <c r="A68" s="197" t="s">
        <v>132</v>
      </c>
      <c r="B68" s="80"/>
      <c r="C68" s="80"/>
      <c r="D68" s="80"/>
      <c r="E68" s="80"/>
      <c r="F68" s="80"/>
      <c r="G68" s="67"/>
      <c r="H68" s="67"/>
      <c r="I68" s="67"/>
      <c r="J68" s="67"/>
      <c r="K68" s="67"/>
      <c r="L68" s="67"/>
      <c r="M68" s="67"/>
      <c r="N68" s="67"/>
    </row>
    <row r="69" spans="1:16" s="123" customFormat="1" thickBot="1" x14ac:dyDescent="0.25">
      <c r="A69" s="124" t="s">
        <v>175</v>
      </c>
      <c r="B69" s="124" t="s">
        <v>92</v>
      </c>
      <c r="C69" s="124" t="s">
        <v>95</v>
      </c>
      <c r="D69" s="124" t="s">
        <v>93</v>
      </c>
      <c r="E69" s="124" t="s">
        <v>94</v>
      </c>
      <c r="F69" s="124" t="s">
        <v>129</v>
      </c>
      <c r="G69" s="67"/>
      <c r="H69" s="67"/>
      <c r="I69" s="67"/>
      <c r="J69" s="67"/>
      <c r="K69" s="67"/>
      <c r="L69" s="67"/>
      <c r="M69" s="67"/>
      <c r="N69" s="67"/>
    </row>
    <row r="70" spans="1:16" s="123" customFormat="1" ht="13.8" thickBot="1" x14ac:dyDescent="0.25">
      <c r="A70" s="130" t="s">
        <v>176</v>
      </c>
      <c r="B70" s="194">
        <v>535122.57999999996</v>
      </c>
      <c r="C70" s="194">
        <v>32120</v>
      </c>
      <c r="D70" s="194">
        <v>13753</v>
      </c>
      <c r="E70" s="194">
        <v>6500</v>
      </c>
      <c r="F70" s="195">
        <f>SUM(B70:E70)</f>
        <v>587495.57999999996</v>
      </c>
      <c r="G70" s="67"/>
      <c r="H70" s="67"/>
      <c r="I70" s="67"/>
      <c r="J70" s="67"/>
      <c r="K70" s="67"/>
      <c r="L70" s="67"/>
      <c r="M70" s="67"/>
      <c r="N70" s="67"/>
    </row>
    <row r="71" spans="1:16" ht="13.8" thickBot="1" x14ac:dyDescent="0.3">
      <c r="A71" s="130" t="s">
        <v>177</v>
      </c>
      <c r="B71" s="194">
        <v>0</v>
      </c>
      <c r="C71" s="194">
        <v>163800</v>
      </c>
      <c r="D71" s="194">
        <v>0</v>
      </c>
      <c r="E71" s="194"/>
      <c r="F71" s="195">
        <f t="shared" ref="F71:F77" si="6">SUM(B71:E71)</f>
        <v>163800</v>
      </c>
      <c r="N71" s="66"/>
    </row>
    <row r="72" spans="1:16" s="123" customFormat="1" ht="13.8" thickBot="1" x14ac:dyDescent="0.25">
      <c r="A72" s="130" t="s">
        <v>191</v>
      </c>
      <c r="B72" s="194">
        <v>535122.57999999996</v>
      </c>
      <c r="C72" s="194">
        <v>195920</v>
      </c>
      <c r="D72" s="194">
        <v>13753</v>
      </c>
      <c r="E72" s="194">
        <v>6500</v>
      </c>
      <c r="F72" s="195">
        <f t="shared" si="6"/>
        <v>751295.58</v>
      </c>
      <c r="G72" s="67"/>
      <c r="H72" s="67"/>
      <c r="I72" s="67"/>
      <c r="J72" s="67"/>
      <c r="K72" s="67"/>
      <c r="L72" s="67"/>
      <c r="M72" s="67"/>
      <c r="N72" s="67"/>
    </row>
    <row r="73" spans="1:16" ht="13.8" thickBot="1" x14ac:dyDescent="0.3">
      <c r="A73" s="130" t="s">
        <v>178</v>
      </c>
      <c r="B73" s="194">
        <v>671322.58</v>
      </c>
      <c r="C73" s="194">
        <v>87960</v>
      </c>
      <c r="D73" s="194">
        <v>28719.66</v>
      </c>
      <c r="E73" s="194">
        <v>99304.9</v>
      </c>
      <c r="F73" s="195">
        <f t="shared" si="6"/>
        <v>887307.14</v>
      </c>
      <c r="N73" s="66"/>
    </row>
    <row r="74" spans="1:16" s="123" customFormat="1" ht="13.8" thickBot="1" x14ac:dyDescent="0.25">
      <c r="A74" s="130" t="s">
        <v>182</v>
      </c>
      <c r="B74" s="194">
        <v>119035</v>
      </c>
      <c r="C74" s="194">
        <v>163800</v>
      </c>
      <c r="D74" s="194">
        <v>0</v>
      </c>
      <c r="E74" s="194">
        <v>0</v>
      </c>
      <c r="F74" s="195">
        <f t="shared" si="6"/>
        <v>282835</v>
      </c>
      <c r="G74" s="67"/>
      <c r="H74" s="67"/>
      <c r="I74" s="67"/>
      <c r="J74" s="67"/>
      <c r="K74" s="67"/>
      <c r="L74" s="67"/>
      <c r="M74" s="67"/>
      <c r="N74" s="67"/>
    </row>
    <row r="75" spans="1:16" s="123" customFormat="1" thickBot="1" x14ac:dyDescent="0.25">
      <c r="A75" s="131" t="s">
        <v>183</v>
      </c>
      <c r="B75" s="195">
        <v>790357.58</v>
      </c>
      <c r="C75" s="195">
        <v>251750</v>
      </c>
      <c r="D75" s="195">
        <v>28719.66</v>
      </c>
      <c r="E75" s="195">
        <v>99304.9</v>
      </c>
      <c r="F75" s="195">
        <f t="shared" si="6"/>
        <v>1170132.1399999999</v>
      </c>
      <c r="G75" s="67"/>
      <c r="H75" s="67"/>
      <c r="I75" s="67"/>
      <c r="J75" s="67"/>
      <c r="K75" s="67"/>
      <c r="L75" s="67"/>
      <c r="M75" s="67"/>
      <c r="N75" s="67"/>
    </row>
    <row r="76" spans="1:16" s="123" customFormat="1" thickBot="1" x14ac:dyDescent="0.25">
      <c r="A76" s="131" t="s">
        <v>198</v>
      </c>
      <c r="B76" s="195">
        <v>0</v>
      </c>
      <c r="C76" s="195">
        <v>0</v>
      </c>
      <c r="D76" s="195">
        <v>0</v>
      </c>
      <c r="E76" s="195">
        <v>0</v>
      </c>
      <c r="F76" s="195">
        <v>0</v>
      </c>
      <c r="G76" s="67"/>
      <c r="H76" s="67"/>
      <c r="I76" s="67"/>
      <c r="J76" s="67"/>
      <c r="K76" s="67"/>
      <c r="L76" s="67"/>
      <c r="M76" s="67"/>
      <c r="N76" s="67"/>
    </row>
    <row r="77" spans="1:16" s="123" customFormat="1" thickBot="1" x14ac:dyDescent="0.25">
      <c r="A77" s="131" t="s">
        <v>187</v>
      </c>
      <c r="B77" s="195">
        <v>11749000</v>
      </c>
      <c r="C77" s="195">
        <v>10941000</v>
      </c>
      <c r="D77" s="195">
        <v>12859320</v>
      </c>
      <c r="E77" s="195">
        <v>21803382</v>
      </c>
      <c r="F77" s="195">
        <f t="shared" si="6"/>
        <v>57352702</v>
      </c>
      <c r="G77" s="67"/>
      <c r="H77" s="67"/>
      <c r="I77" s="67"/>
      <c r="J77" s="67"/>
      <c r="K77" s="67"/>
      <c r="L77" s="67"/>
      <c r="M77" s="67"/>
      <c r="N77" s="67"/>
    </row>
  </sheetData>
  <phoneticPr fontId="3" type="noConversion"/>
  <conditionalFormatting sqref="J1">
    <cfRule type="containsText" dxfId="15" priority="5" stopIfTrue="1" operator="containsText" text="None">
      <formula>NOT(ISERROR(SEARCH("None",J1)))</formula>
    </cfRule>
    <cfRule type="containsText" dxfId="14" priority="6" stopIfTrue="1" operator="containsText" text="Exchange in use">
      <formula>NOT(ISERROR(SEARCH("Exchange in use",J1)))</formula>
    </cfRule>
    <cfRule type="containsText" dxfId="13" priority="7" stopIfTrue="1" operator="containsText" text="Exchange in Use-Issues">
      <formula>NOT(ISERROR(SEARCH("Exchange in Use-Issues",J1)))</formula>
    </cfRule>
    <cfRule type="containsText" dxfId="12" priority="8" stopIfTrue="1" operator="containsText" text="Domino in use-issues">
      <formula>NOT(ISERROR(SEARCH("Domino in use-issues",J1)))</formula>
    </cfRule>
  </conditionalFormatting>
  <conditionalFormatting sqref="K1">
    <cfRule type="containsText" dxfId="11" priority="1" stopIfTrue="1" operator="containsText" text="None">
      <formula>NOT(ISERROR(SEARCH("None",K1)))</formula>
    </cfRule>
    <cfRule type="containsText" dxfId="10" priority="2" stopIfTrue="1" operator="containsText" text="Exchange in use">
      <formula>NOT(ISERROR(SEARCH("Exchange in use",K1)))</formula>
    </cfRule>
    <cfRule type="containsText" dxfId="9" priority="3" stopIfTrue="1" operator="containsText" text="Exchange in Use-Issues">
      <formula>NOT(ISERROR(SEARCH("Exchange in Use-Issues",K1)))</formula>
    </cfRule>
    <cfRule type="containsText" dxfId="8" priority="4" stopIfTrue="1" operator="containsText" text="Domino in use-issues">
      <formula>NOT(ISERROR(SEARCH("Domino in use-issues",K1)))</formula>
    </cfRule>
  </conditionalFormatting>
  <pageMargins left="0.75" right="0.75" top="1" bottom="1" header="0.5" footer="0.5"/>
  <pageSetup paperSize="9" orientation="portrait" horizont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I48"/>
  <sheetViews>
    <sheetView workbookViewId="0">
      <selection activeCell="D4" sqref="D4"/>
    </sheetView>
  </sheetViews>
  <sheetFormatPr defaultColWidth="9.109375" defaultRowHeight="13.2" x14ac:dyDescent="0.25"/>
  <cols>
    <col min="1" max="1" width="4.5546875" style="20" bestFit="1" customWidth="1"/>
    <col min="2" max="2" width="62.33203125" style="20" customWidth="1"/>
    <col min="3" max="3" width="9.5546875" style="20" bestFit="1" customWidth="1"/>
    <col min="4" max="4" width="12.33203125" style="20" customWidth="1"/>
    <col min="5" max="5" width="10.109375" style="20" customWidth="1"/>
    <col min="6" max="6" width="13.5546875" style="20" bestFit="1" customWidth="1"/>
    <col min="7" max="7" width="18.109375" style="20" bestFit="1" customWidth="1"/>
    <col min="8" max="8" width="13.109375" style="20" customWidth="1"/>
    <col min="9" max="9" width="11" style="20" customWidth="1"/>
    <col min="10" max="16384" width="9.109375" style="20"/>
  </cols>
  <sheetData>
    <row r="1" spans="1:9" x14ac:dyDescent="0.25">
      <c r="B1" s="21" t="s">
        <v>43</v>
      </c>
      <c r="D1"/>
      <c r="G1" s="39">
        <v>45838</v>
      </c>
    </row>
    <row r="2" spans="1:9" ht="13.8" x14ac:dyDescent="0.25">
      <c r="B2" s="22" t="s">
        <v>39</v>
      </c>
    </row>
    <row r="3" spans="1:9" ht="26.4" x14ac:dyDescent="0.25">
      <c r="A3" s="23" t="str">
        <f>'Infrastructure and Systems'!A3</f>
        <v>No.</v>
      </c>
      <c r="B3" s="23" t="s">
        <v>33</v>
      </c>
      <c r="C3" s="24" t="s">
        <v>28</v>
      </c>
      <c r="D3" s="24" t="s">
        <v>43</v>
      </c>
      <c r="E3" s="24" t="s">
        <v>32</v>
      </c>
      <c r="F3" s="24" t="s">
        <v>35</v>
      </c>
      <c r="G3" s="24" t="s">
        <v>36</v>
      </c>
      <c r="H3" s="24" t="s">
        <v>37</v>
      </c>
      <c r="I3" s="24" t="s">
        <v>38</v>
      </c>
    </row>
    <row r="4" spans="1:9" x14ac:dyDescent="0.25">
      <c r="A4" s="16">
        <f>'Infrastructure and Systems'!A4</f>
        <v>1</v>
      </c>
      <c r="B4" s="16" t="str">
        <f>'Infrastructure and Systems'!B4</f>
        <v>Local Area Network (LAN)</v>
      </c>
      <c r="C4" s="16">
        <f>COUNTA('Infrastructure and Systems'!$C$3:$N$3)</f>
        <v>12</v>
      </c>
      <c r="D4" s="17">
        <f>COUNTIF('Infrastructure and Systems'!C4:N4,"No Issue Reported")+COUNTIF('Infrastructure and Systems'!C4:N4,"Partially Working")*0.7+COUNTIF('Infrastructure and Systems'!C4:N4,"Total Failure")*0.3</f>
        <v>0</v>
      </c>
      <c r="E4" s="18">
        <f>D4/C4</f>
        <v>0</v>
      </c>
      <c r="F4" s="17"/>
      <c r="G4" s="24"/>
      <c r="H4" s="24"/>
      <c r="I4" s="24"/>
    </row>
    <row r="5" spans="1:9" x14ac:dyDescent="0.25">
      <c r="A5" s="16">
        <f>'Infrastructure and Systems'!A5</f>
        <v>2</v>
      </c>
      <c r="B5" s="16" t="str">
        <f>'Infrastructure and Systems'!B5</f>
        <v>Wide Area Network (WAN)</v>
      </c>
      <c r="C5" s="16">
        <f>COUNTA('Infrastructure and Systems'!$C$3:$N$3)</f>
        <v>12</v>
      </c>
      <c r="D5" s="17">
        <f>COUNTIF('Infrastructure and Systems'!C5:N5,"No Issue Reported")+COUNTIF('Infrastructure and Systems'!C5:N5,"Partially Working")*0.7+COUNTIF('Infrastructure and Systems'!C5:N5,"Total Failure")*0.3</f>
        <v>0</v>
      </c>
      <c r="E5" s="18">
        <f>D5/C5</f>
        <v>0</v>
      </c>
      <c r="F5" s="17"/>
      <c r="G5" s="17"/>
      <c r="H5" s="17"/>
      <c r="I5" s="17"/>
    </row>
    <row r="6" spans="1:9" x14ac:dyDescent="0.25">
      <c r="A6" s="16">
        <f>'Infrastructure and Systems'!A7</f>
        <v>4</v>
      </c>
      <c r="B6" s="16" t="str">
        <f>'Infrastructure and Systems'!B7</f>
        <v>Firewall</v>
      </c>
      <c r="C6" s="16">
        <f>COUNTA('Infrastructure and Systems'!$C$3:$N$3)</f>
        <v>12</v>
      </c>
      <c r="D6" s="17">
        <f>COUNTIF('Infrastructure and Systems'!C7:N7,"No Issue Reported")*1+COUNTIF('Infrastructure and Systems'!C7:N7,"Partially Working")*0.7+COUNTIF('Infrastructure and Systems'!C7:N7,"Total Failure")*0.3</f>
        <v>0</v>
      </c>
      <c r="E6" s="18">
        <f>IF('Infrastructure and Systems'!C7="Internet slow even sometimes not available",(D6/C6),(D6/C6))</f>
        <v>0</v>
      </c>
      <c r="F6" s="17"/>
      <c r="G6" s="25"/>
      <c r="H6" s="17"/>
      <c r="I6" s="17"/>
    </row>
    <row r="7" spans="1:9" x14ac:dyDescent="0.25">
      <c r="A7" s="16">
        <f>'Infrastructure and Systems'!A8</f>
        <v>5</v>
      </c>
      <c r="B7" s="16" t="str">
        <f>'Infrastructure and Systems'!B8</f>
        <v>E-Mail Server</v>
      </c>
      <c r="C7" s="16">
        <f>COUNTA('Infrastructure and Systems'!$C$3:$N$3)</f>
        <v>12</v>
      </c>
      <c r="D7">
        <f>COUNTIF('Infrastructure and Systems'!C8:N8,"Domino in use")*1+COUNTIF('Infrastructure and Systems'!C8:N8,"Exchange in Use")*0.8+COUNTIF('Infrastructure and Systems'!C8:N8,"Domino In Use-Issues")*0.6+COUNTIF('Infrastructure and Systems'!C8:N8,"Exchange In Use-Issues")*0.4+COUNTIF('Infrastructure and Systems'!C8:N8,"None")*0.2</f>
        <v>0</v>
      </c>
      <c r="E7" s="18">
        <f>D7/C7</f>
        <v>0</v>
      </c>
      <c r="F7" s="17"/>
      <c r="G7" s="25"/>
      <c r="H7" s="17"/>
      <c r="I7" s="17"/>
    </row>
    <row r="8" spans="1:9" x14ac:dyDescent="0.25">
      <c r="A8" s="16">
        <f>'Infrastructure and Systems'!A9</f>
        <v>6</v>
      </c>
      <c r="B8" s="16" t="str">
        <f>'Infrastructure and Systems'!B9</f>
        <v>Business Servers (EWS, Chaipro)</v>
      </c>
      <c r="C8" s="16">
        <f>COUNTA('Infrastructure and Systems'!$C$3:$N$3)</f>
        <v>12</v>
      </c>
      <c r="D8" s="17">
        <f>COUNTIF('Infrastructure and Systems'!C9:N9,"No Issue Reported")+COUNTIF('Infrastructure and Systems'!C9:N9,"Partially Working")*0.7+COUNTIF('Infrastructure and Systems'!C9:N9,"Total Failure")*0.3</f>
        <v>0</v>
      </c>
      <c r="E8" s="18">
        <f>D8/C8</f>
        <v>0</v>
      </c>
      <c r="F8" s="17"/>
      <c r="G8" s="17"/>
      <c r="H8" s="17"/>
      <c r="I8" s="17"/>
    </row>
    <row r="9" spans="1:9" x14ac:dyDescent="0.25">
      <c r="A9" s="16">
        <f>'Infrastructure and Systems'!A10</f>
        <v>7</v>
      </c>
      <c r="B9" s="16" t="str">
        <f>'Infrastructure and Systems'!B10</f>
        <v>Electronic Weighment Solution (EWS Version)</v>
      </c>
      <c r="C9" s="16">
        <f>COUNTA('Infrastructure and Systems'!$C$3:$N$3)</f>
        <v>12</v>
      </c>
      <c r="D9" s="17">
        <f>COUNTIF('Infrastructure and Systems'!C10:N10,"No Issue Reported")+COUNTIF('Infrastructure and Systems'!C10:N10,"Partially Working")*0.7+COUNTIF('Infrastructure and Systems'!C10:N10,"Total Failure")*0.3</f>
        <v>0</v>
      </c>
      <c r="E9" s="18">
        <f>D9/C9</f>
        <v>0</v>
      </c>
      <c r="F9" s="17"/>
      <c r="G9" s="17"/>
      <c r="H9" s="17"/>
      <c r="I9" s="17"/>
    </row>
    <row r="10" spans="1:9" x14ac:dyDescent="0.25">
      <c r="A10" s="16" t="e">
        <f>'Infrastructure and Systems'!#REF!</f>
        <v>#REF!</v>
      </c>
      <c r="B10" s="16" t="e">
        <f>'Infrastructure and Systems'!#REF!</f>
        <v>#REF!</v>
      </c>
      <c r="C10" s="16">
        <f>COUNTA('Infrastructure and Systems'!$C$3:$N$3)</f>
        <v>12</v>
      </c>
      <c r="D10" s="17" t="e">
        <f>COUNTIF('Infrastructure and Systems'!#REF!,"No Issue Reported")+COUNTIF('Infrastructure and Systems'!#REF!,"Partially Working")*0.7+COUNTIF('Infrastructure and Systems'!#REF!,"Total Failure")*0.3</f>
        <v>#REF!</v>
      </c>
      <c r="E10" s="18" t="e">
        <f>D10/C10</f>
        <v>#REF!</v>
      </c>
      <c r="F10" s="17"/>
      <c r="G10" s="17"/>
      <c r="H10" s="17"/>
      <c r="I10" s="17"/>
    </row>
    <row r="11" spans="1:9" x14ac:dyDescent="0.25">
      <c r="A11" s="17"/>
      <c r="B11" s="26" t="s">
        <v>29</v>
      </c>
      <c r="C11" s="26"/>
      <c r="D11" s="26"/>
      <c r="E11" s="27" t="e">
        <f>AVERAGE(E4:E10)</f>
        <v>#REF!</v>
      </c>
      <c r="F11" s="17"/>
      <c r="G11" s="17"/>
      <c r="H11" s="17"/>
      <c r="I11" s="17"/>
    </row>
    <row r="12" spans="1:9" x14ac:dyDescent="0.25">
      <c r="B12" s="21"/>
      <c r="C12" s="21"/>
      <c r="D12" s="21"/>
      <c r="E12" s="28"/>
    </row>
    <row r="13" spans="1:9" ht="13.8" x14ac:dyDescent="0.25">
      <c r="B13" s="22" t="s">
        <v>159</v>
      </c>
    </row>
    <row r="14" spans="1:9" ht="26.4" x14ac:dyDescent="0.25">
      <c r="A14" s="23" t="s">
        <v>34</v>
      </c>
      <c r="B14" s="23" t="s">
        <v>33</v>
      </c>
      <c r="C14" s="24" t="s">
        <v>28</v>
      </c>
      <c r="D14" s="24" t="s">
        <v>43</v>
      </c>
      <c r="E14" s="24" t="s">
        <v>32</v>
      </c>
      <c r="F14" s="24" t="s">
        <v>31</v>
      </c>
      <c r="G14" s="23" t="s">
        <v>30</v>
      </c>
      <c r="H14" s="23"/>
      <c r="I14" s="23"/>
    </row>
    <row r="15" spans="1:9" ht="12.75" customHeight="1" x14ac:dyDescent="0.25">
      <c r="A15" s="16">
        <v>1</v>
      </c>
      <c r="B15" s="16" t="s">
        <v>15</v>
      </c>
      <c r="C15" s="16">
        <f>COUNTA('Chaipro-SAP'!$C$3:$N$3)</f>
        <v>12</v>
      </c>
      <c r="D15" s="17">
        <f>COUNTIF('Chaipro-SAP'!C3:N3,"SAP Module-FICO/MM")*1+COUNTIF('Chaipro-SAP'!C3:N3,"2.5.5.7")*1+COUNTIF('Chaipro-SAP'!C3:N3,"2.5.5.8")*1+COUNTIF('Chaipro-SAP'!C3:N3,"2.5.5.9")*1+COUNTIF('Chaipro-SAP'!C3:N3,"Other version Working")*0.8+COUNTIF('Chaipro-SAP'!C3:N3,"2.5.5.7 With Issues")*0.6+COUNTIF('Chaipro-SAP'!C3:N3,"Other version With Issues")*0.4 + COUNTIF('Chaipro-SAP'!C3:N3,"None")*0.25</f>
        <v>12</v>
      </c>
      <c r="E15" s="18">
        <f>D15/C15</f>
        <v>1</v>
      </c>
      <c r="F15" s="17"/>
      <c r="G15" s="17"/>
      <c r="H15" s="17"/>
      <c r="I15" s="17"/>
    </row>
    <row r="16" spans="1:9" ht="13.5" customHeight="1" x14ac:dyDescent="0.25">
      <c r="A16" s="16">
        <v>2</v>
      </c>
      <c r="B16" s="16" t="s">
        <v>16</v>
      </c>
      <c r="C16" s="16">
        <f>COUNTA('Chaipro-SAP'!$C$3:$N$3)</f>
        <v>12</v>
      </c>
      <c r="D16" s="17">
        <f>COUNTIF('Chaipro-SAP'!C4:N4,"SAP Module-PP/PM")*1+COUNTIF('Chaipro-SAP'!C4:N4,"2.5.2.5")*1+COUNTIF('Chaipro-SAP'!C4:N4,"2.5.2.7")*1+COUNTIF('Chaipro-SAP'!C4:N4,"Other version Working")*0.8+COUNTIF('Chaipro-SAP'!C4:N4,"2.5.2.5 With Issues")*0.6+COUNTIF('Chaipro-SAP'!C4:N4,"Other version With Issues")*0.4 + COUNTIF('Chaipro-SAP'!C4:N4,"None")*0.25</f>
        <v>12</v>
      </c>
      <c r="E16" s="18">
        <f t="shared" ref="E16:E21" si="0">D16/C16</f>
        <v>1</v>
      </c>
      <c r="F16" s="17"/>
      <c r="G16" s="17"/>
      <c r="H16" s="17"/>
      <c r="I16" s="17"/>
    </row>
    <row r="17" spans="1:9" x14ac:dyDescent="0.25">
      <c r="A17" s="16">
        <v>3</v>
      </c>
      <c r="B17" s="16" t="s">
        <v>17</v>
      </c>
      <c r="C17" s="16">
        <f>COUNTA('Chaipro-SAP'!$C$3:$N$3)</f>
        <v>12</v>
      </c>
      <c r="D17" s="17">
        <f>COUNTIF('Chaipro-SAP'!C5:N5,"2.8.0.0")*1+COUNTIF('Chaipro-SAP'!C5:N5,"Other version Working")*0.8+COUNTIF('Chaipro-SAP'!C5:N5,"2.8.0.0 With Issues")*0.6+COUNTIF('Chaipro-SAP'!C5:N5,"Other version With Issues")*0.4 + COUNTIF('Chaipro-SAP'!C5:N5,"None")*0.25</f>
        <v>12</v>
      </c>
      <c r="E17" s="18">
        <f t="shared" si="0"/>
        <v>1</v>
      </c>
      <c r="F17" s="25"/>
      <c r="G17" s="25"/>
      <c r="H17" s="17"/>
      <c r="I17" s="17"/>
    </row>
    <row r="18" spans="1:9" x14ac:dyDescent="0.25">
      <c r="A18" s="16">
        <v>4</v>
      </c>
      <c r="B18" s="16" t="s">
        <v>18</v>
      </c>
      <c r="C18" s="16">
        <f>COUNTA('Chaipro-SAP'!$C$3:$N$3)</f>
        <v>12</v>
      </c>
      <c r="D18" s="17">
        <f>COUNTIF('Chaipro-SAP'!C6:N6,"3.2.5.1")*1+COUNTIF('Chaipro-SAP'!C6:N6,"Other version Working")*0.8+COUNTIF('Chaipro-SAP'!C6:N6,"3.2.5.1 With Issues")*0.6+COUNTIF('Chaipro-SAP'!C6:N6,"Other version With Issues")*0.4 + COUNTIF('Chaipro-SAP'!C6:N6,"None")*0.25</f>
        <v>12</v>
      </c>
      <c r="E18" s="18">
        <f t="shared" si="0"/>
        <v>1</v>
      </c>
      <c r="F18" s="25"/>
      <c r="G18" s="25"/>
      <c r="H18" s="17"/>
      <c r="I18" s="17"/>
    </row>
    <row r="19" spans="1:9" x14ac:dyDescent="0.25">
      <c r="A19" s="16">
        <v>6</v>
      </c>
      <c r="B19" s="16" t="s">
        <v>19</v>
      </c>
      <c r="C19" s="16">
        <f>COUNTA('Chaipro-SAP'!$C$3:$N$3)</f>
        <v>12</v>
      </c>
      <c r="D19" s="17">
        <f>COUNTIF('Chaipro-SAP'!C7:N7,"Working")*1+COUNTIF('Chaipro-SAP'!C7:N7,"Version 10 fully operational ")*1+COUNTIF('Chaipro-SAP'!C7:N7,"Working With Issues")*0.5</f>
        <v>12</v>
      </c>
      <c r="E19" s="18">
        <f t="shared" si="0"/>
        <v>1</v>
      </c>
      <c r="F19" s="17"/>
      <c r="G19" s="17"/>
      <c r="H19" s="17"/>
      <c r="I19" s="17"/>
    </row>
    <row r="20" spans="1:9" x14ac:dyDescent="0.25">
      <c r="A20" s="16">
        <v>7</v>
      </c>
      <c r="B20" s="16" t="s">
        <v>20</v>
      </c>
      <c r="C20" s="16">
        <f>COUNTA('Chaipro-SAP'!$C$3:$N$3)</f>
        <v>12</v>
      </c>
      <c r="D20" s="17">
        <f>COUNTIF('Chaipro-SAP'!C8:N8,"1.0.0.3")*1+COUNTIF('Chaipro-SAP'!C8:N8,"Other version Working")*0.8+COUNTIF('Chaipro-SAP'!C8:N8,"1.0.0.3 With Issues")*0.6+COUNTIF('Chaipro-SAP'!C8:N8,"Other version With Issues")*0.4 + COUNTIF('Chaipro-SAP'!C8:N8,"None")*0.25</f>
        <v>12</v>
      </c>
      <c r="E20" s="18">
        <f t="shared" si="0"/>
        <v>1</v>
      </c>
      <c r="F20" s="17"/>
      <c r="G20" s="17"/>
      <c r="H20" s="17"/>
      <c r="I20" s="17"/>
    </row>
    <row r="21" spans="1:9" x14ac:dyDescent="0.25">
      <c r="A21" s="16">
        <v>8</v>
      </c>
      <c r="B21" s="16" t="s">
        <v>21</v>
      </c>
      <c r="C21" s="16">
        <f>COUNTA('Chaipro-SAP'!$C$3:$N$3)</f>
        <v>12</v>
      </c>
      <c r="D21" s="17">
        <f>COUNTIF('Chaipro-SAP'!C9:N9,"2.2")*1+COUNTIF('Chaipro-SAP'!C9:N9,"Other version Working")*0.8+COUNTIF('Chaipro-SAP'!C9:N9,"2.2 With Issues")*0.6+COUNTIF('Chaipro-SAP'!C9:N9,"Other version With Issues")*0.4 + COUNTIF('Chaipro-SAP'!C9:N9,"None")*0.25</f>
        <v>0</v>
      </c>
      <c r="E21" s="18">
        <f t="shared" si="0"/>
        <v>0</v>
      </c>
      <c r="F21" s="17"/>
      <c r="G21" s="25"/>
      <c r="H21" s="17"/>
      <c r="I21" s="17"/>
    </row>
    <row r="22" spans="1:9" x14ac:dyDescent="0.25">
      <c r="A22" s="17"/>
      <c r="B22" s="26" t="s">
        <v>29</v>
      </c>
      <c r="C22" s="26"/>
      <c r="D22" s="26"/>
      <c r="E22" s="27">
        <f>AVERAGE(E15:E21)</f>
        <v>0.8571428571428571</v>
      </c>
      <c r="F22" s="17"/>
      <c r="G22" s="17"/>
      <c r="H22" s="17"/>
      <c r="I22" s="17"/>
    </row>
    <row r="23" spans="1:9" x14ac:dyDescent="0.25">
      <c r="B23" s="21"/>
      <c r="C23" s="21"/>
      <c r="D23" s="21"/>
      <c r="E23" s="28"/>
    </row>
    <row r="24" spans="1:9" ht="13.8" x14ac:dyDescent="0.25">
      <c r="B24" s="22" t="s">
        <v>42</v>
      </c>
    </row>
    <row r="25" spans="1:9" ht="26.4" x14ac:dyDescent="0.25">
      <c r="A25" s="23" t="s">
        <v>34</v>
      </c>
      <c r="B25" s="23" t="s">
        <v>33</v>
      </c>
      <c r="C25" s="24" t="s">
        <v>28</v>
      </c>
      <c r="D25" s="24" t="s">
        <v>43</v>
      </c>
      <c r="E25" s="24" t="s">
        <v>32</v>
      </c>
      <c r="F25" s="24" t="s">
        <v>31</v>
      </c>
      <c r="G25" s="23" t="s">
        <v>30</v>
      </c>
      <c r="H25" s="23"/>
      <c r="I25" s="23"/>
    </row>
    <row r="26" spans="1:9" ht="14.25" customHeight="1" x14ac:dyDescent="0.3">
      <c r="A26" s="16">
        <v>1</v>
      </c>
      <c r="B26" s="16" t="s">
        <v>22</v>
      </c>
      <c r="C26" s="16">
        <f>COUNTA('ICT Inventory'!#REF!)</f>
        <v>1</v>
      </c>
      <c r="D26" s="17" t="e">
        <f>COUNTIF('ICT Inventory'!#REF!,"No Issue Reported")+COUNTIF('ICT Inventory'!#REF!,"Partially Working")*0.7+COUNTIF('ICT Inventory'!#REF!,"Total Failure")*0.3</f>
        <v>#REF!</v>
      </c>
      <c r="E26" s="18" t="e">
        <f>D26/C26</f>
        <v>#REF!</v>
      </c>
      <c r="F26" s="17"/>
      <c r="G26" s="17"/>
      <c r="H26" s="17"/>
      <c r="I26" s="17"/>
    </row>
    <row r="27" spans="1:9" ht="14.25" customHeight="1" x14ac:dyDescent="0.3">
      <c r="A27" s="16">
        <v>2</v>
      </c>
      <c r="B27" s="16" t="s">
        <v>23</v>
      </c>
      <c r="C27" s="16">
        <f>COUNTA('ICT Inventory'!#REF!)</f>
        <v>1</v>
      </c>
      <c r="D27" s="17" t="e">
        <f>COUNTIF('ICT Inventory'!#REF!,"No Issue Reported")+COUNTIF('ICT Inventory'!#REF!,"Partially Working")*0.7+COUNTIF('ICT Inventory'!#REF!,"Total Failure")*0.3</f>
        <v>#REF!</v>
      </c>
      <c r="E27" s="18" t="e">
        <f>D27/C27</f>
        <v>#REF!</v>
      </c>
      <c r="F27" s="17"/>
      <c r="G27" s="17"/>
      <c r="H27" s="17"/>
      <c r="I27" s="17"/>
    </row>
    <row r="28" spans="1:9" ht="14.25" customHeight="1" x14ac:dyDescent="0.3">
      <c r="A28" s="16">
        <v>3</v>
      </c>
      <c r="B28" s="16" t="s">
        <v>24</v>
      </c>
      <c r="C28" s="16">
        <f>COUNTA('ICT Inventory'!#REF!)</f>
        <v>1</v>
      </c>
      <c r="D28" s="17" t="e">
        <f>COUNTIF('ICT Inventory'!#REF!,"No Issue Reported")+COUNTIF('ICT Inventory'!#REF!,"Partially Working")*0.7+COUNTIF('ICT Inventory'!#REF!,"Total Failure")*0.3</f>
        <v>#REF!</v>
      </c>
      <c r="E28" s="18" t="e">
        <f>D28/C28</f>
        <v>#REF!</v>
      </c>
      <c r="F28" s="17"/>
      <c r="G28" s="17"/>
      <c r="H28" s="17"/>
      <c r="I28" s="17"/>
    </row>
    <row r="29" spans="1:9" ht="14.25" customHeight="1" x14ac:dyDescent="0.3">
      <c r="A29" s="16">
        <v>4</v>
      </c>
      <c r="B29" s="16" t="s">
        <v>25</v>
      </c>
      <c r="C29" s="16" t="e">
        <f>IF('ICT Inventory'!#REF!&lt;&gt;"N/A",COUNTA('ICT Inventory'!#REF!))</f>
        <v>#REF!</v>
      </c>
      <c r="D29" s="17" t="e">
        <f>COUNTIF('ICT Inventory'!#REF!,"No Issue Reported")*1+COUNTIF('ICT Inventory'!#REF!,"WIFI &amp; CCTV Installed")*1+COUNTIF('ICT Inventory'!#REF!,"Partially Working")*0.7+COUNTIF('ICT Inventory'!#REF!,"Total Failure")*0.3</f>
        <v>#REF!</v>
      </c>
      <c r="E29" s="18" t="e">
        <f>D29/C29</f>
        <v>#REF!</v>
      </c>
      <c r="F29" s="17"/>
      <c r="G29" s="17"/>
      <c r="H29" s="17"/>
      <c r="I29" s="17"/>
    </row>
    <row r="30" spans="1:9" x14ac:dyDescent="0.25">
      <c r="A30" s="17"/>
      <c r="B30" s="26" t="s">
        <v>29</v>
      </c>
      <c r="C30" s="26"/>
      <c r="D30" s="26"/>
      <c r="E30" s="27" t="e">
        <f>AVERAGE(E26:E29)</f>
        <v>#REF!</v>
      </c>
      <c r="F30" s="17"/>
      <c r="G30" s="17"/>
      <c r="H30" s="17"/>
      <c r="I30" s="17"/>
    </row>
    <row r="31" spans="1:9" x14ac:dyDescent="0.25">
      <c r="A31" s="29"/>
      <c r="B31" s="29"/>
      <c r="C31" s="29"/>
      <c r="E31" s="30"/>
    </row>
    <row r="32" spans="1:9" ht="13.8" x14ac:dyDescent="0.25">
      <c r="B32" s="22" t="s">
        <v>41</v>
      </c>
    </row>
    <row r="33" spans="1:9" ht="26.4" x14ac:dyDescent="0.25">
      <c r="A33" s="23" t="s">
        <v>34</v>
      </c>
      <c r="B33" s="23" t="s">
        <v>33</v>
      </c>
      <c r="C33" s="24" t="s">
        <v>28</v>
      </c>
      <c r="D33" s="24" t="s">
        <v>43</v>
      </c>
      <c r="E33" s="24" t="s">
        <v>32</v>
      </c>
      <c r="F33" s="24" t="s">
        <v>31</v>
      </c>
      <c r="G33" s="23" t="s">
        <v>30</v>
      </c>
      <c r="H33" s="23"/>
      <c r="I33" s="23"/>
    </row>
    <row r="34" spans="1:9" ht="14.25" customHeight="1" x14ac:dyDescent="0.25">
      <c r="A34" s="16">
        <v>1</v>
      </c>
      <c r="B34" s="16" t="s">
        <v>26</v>
      </c>
      <c r="C34" s="16" t="e">
        <f>IF(BCP!#REF!&lt;&gt;"N/A",COUNTA(BCP!#REF!))</f>
        <v>#REF!</v>
      </c>
      <c r="D34" s="17" t="e">
        <f>COUNTIF(BCP!#REF!,"Offsite &amp; Schedule backups in place")</f>
        <v>#REF!</v>
      </c>
      <c r="E34" s="18" t="e">
        <f>D34/C34</f>
        <v>#REF!</v>
      </c>
      <c r="F34" s="17"/>
      <c r="G34" s="17"/>
      <c r="H34" s="17"/>
      <c r="I34" s="17"/>
    </row>
    <row r="35" spans="1:9" x14ac:dyDescent="0.25">
      <c r="A35" s="17"/>
      <c r="B35" s="26" t="s">
        <v>29</v>
      </c>
      <c r="C35" s="26"/>
      <c r="D35" s="26"/>
      <c r="E35" s="27" t="e">
        <f>AVERAGE(E34)</f>
        <v>#REF!</v>
      </c>
      <c r="F35" s="17"/>
      <c r="G35" s="17"/>
      <c r="H35" s="17"/>
      <c r="I35" s="17"/>
    </row>
    <row r="38" spans="1:9" ht="13.8" x14ac:dyDescent="0.25">
      <c r="B38" s="22" t="s">
        <v>48</v>
      </c>
    </row>
    <row r="39" spans="1:9" ht="26.4" x14ac:dyDescent="0.25">
      <c r="A39" s="23" t="s">
        <v>34</v>
      </c>
      <c r="B39" s="23" t="s">
        <v>33</v>
      </c>
      <c r="C39" s="24" t="s">
        <v>28</v>
      </c>
      <c r="D39" s="24" t="s">
        <v>67</v>
      </c>
      <c r="E39" s="24" t="s">
        <v>101</v>
      </c>
      <c r="F39" s="31" t="s">
        <v>31</v>
      </c>
      <c r="G39" s="32" t="s">
        <v>30</v>
      </c>
      <c r="H39" s="32"/>
      <c r="I39" s="32"/>
    </row>
    <row r="40" spans="1:9" s="29" customFormat="1" x14ac:dyDescent="0.25">
      <c r="A40" s="16">
        <v>1</v>
      </c>
      <c r="B40" s="16" t="s">
        <v>49</v>
      </c>
      <c r="C40" s="16">
        <f>COUNTA('ICT Cost'!$B$2:$L$2)</f>
        <v>11</v>
      </c>
      <c r="D40" s="40">
        <f>'ICT Cost'!N8</f>
        <v>6945720.8700000001</v>
      </c>
      <c r="E40" s="41"/>
      <c r="F40" s="42"/>
      <c r="G40" s="42"/>
      <c r="H40" s="42"/>
      <c r="I40" s="16"/>
    </row>
    <row r="41" spans="1:9" x14ac:dyDescent="0.25">
      <c r="A41" s="17"/>
      <c r="B41" s="26" t="s">
        <v>29</v>
      </c>
      <c r="C41" s="26"/>
      <c r="D41" s="26"/>
      <c r="E41" s="27"/>
      <c r="F41" s="33"/>
      <c r="G41" s="33"/>
      <c r="H41" s="33"/>
      <c r="I41" s="33"/>
    </row>
    <row r="43" spans="1:9" ht="14.4" x14ac:dyDescent="0.3">
      <c r="B43" s="34"/>
    </row>
    <row r="44" spans="1:9" ht="13.8" x14ac:dyDescent="0.3">
      <c r="B44" s="35"/>
    </row>
    <row r="45" spans="1:9" ht="13.8" x14ac:dyDescent="0.3">
      <c r="B45" s="35"/>
    </row>
    <row r="46" spans="1:9" ht="13.8" x14ac:dyDescent="0.3">
      <c r="B46" s="35"/>
    </row>
    <row r="47" spans="1:9" ht="13.8" x14ac:dyDescent="0.3">
      <c r="B47" s="35"/>
    </row>
    <row r="48" spans="1:9" ht="13.8" x14ac:dyDescent="0.3">
      <c r="B48" s="35"/>
    </row>
  </sheetData>
  <phoneticPr fontId="3" type="noConversion"/>
  <conditionalFormatting sqref="G1">
    <cfRule type="containsText" dxfId="7" priority="1" stopIfTrue="1" operator="containsText" text="None">
      <formula>NOT(ISERROR(SEARCH("None",G1)))</formula>
    </cfRule>
    <cfRule type="containsText" dxfId="6" priority="2" stopIfTrue="1" operator="containsText" text="Exchange in use">
      <formula>NOT(ISERROR(SEARCH("Exchange in use",G1)))</formula>
    </cfRule>
    <cfRule type="containsText" dxfId="5" priority="3" stopIfTrue="1" operator="containsText" text="Exchange in Use-Issues">
      <formula>NOT(ISERROR(SEARCH("Exchange in Use-Issues",G1)))</formula>
    </cfRule>
    <cfRule type="containsText" dxfId="4" priority="4" stopIfTrue="1" operator="containsText" text="Domino in use-issues">
      <formula>NOT(ISERROR(SEARCH("Domino in use-issues",G1)))</formula>
    </cfRule>
  </conditionalFormatting>
  <pageMargins left="0.75" right="0.75" top="1" bottom="1" header="0.5" footer="0.5"/>
  <pageSetup paperSize="9" orientation="portrait" horizontalDpi="300" verticalDpi="4294967295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I41"/>
  <sheetViews>
    <sheetView workbookViewId="0">
      <selection activeCell="D4" sqref="D4"/>
    </sheetView>
  </sheetViews>
  <sheetFormatPr defaultRowHeight="13.2" x14ac:dyDescent="0.25"/>
  <cols>
    <col min="1" max="1" width="10.5546875" customWidth="1"/>
    <col min="2" max="2" width="62.33203125" customWidth="1"/>
    <col min="3" max="3" width="9.5546875" bestFit="1" customWidth="1"/>
    <col min="4" max="4" width="15" bestFit="1" customWidth="1"/>
    <col min="5" max="5" width="10" bestFit="1" customWidth="1"/>
    <col min="6" max="6" width="12" customWidth="1"/>
    <col min="7" max="7" width="12.88671875" bestFit="1" customWidth="1"/>
  </cols>
  <sheetData>
    <row r="1" spans="1:9" x14ac:dyDescent="0.25">
      <c r="B1" s="8" t="s">
        <v>44</v>
      </c>
      <c r="F1">
        <v>45838</v>
      </c>
    </row>
    <row r="2" spans="1:9" ht="13.8" x14ac:dyDescent="0.25">
      <c r="B2" s="10" t="s">
        <v>39</v>
      </c>
    </row>
    <row r="3" spans="1:9" ht="39.6" x14ac:dyDescent="0.25">
      <c r="A3" s="5" t="str">
        <f>'Infrastructure and Systems'!A3</f>
        <v>No.</v>
      </c>
      <c r="B3" s="5" t="s">
        <v>33</v>
      </c>
      <c r="C3" s="6" t="s">
        <v>28</v>
      </c>
      <c r="D3" s="6" t="s">
        <v>44</v>
      </c>
      <c r="E3" s="6" t="s">
        <v>32</v>
      </c>
      <c r="F3" s="6" t="s">
        <v>35</v>
      </c>
      <c r="G3" s="6" t="s">
        <v>36</v>
      </c>
      <c r="H3" s="6" t="s">
        <v>37</v>
      </c>
      <c r="I3" s="6" t="s">
        <v>38</v>
      </c>
    </row>
    <row r="4" spans="1:9" x14ac:dyDescent="0.25">
      <c r="A4" s="3">
        <f>'Infrastructure and Systems'!A4</f>
        <v>1</v>
      </c>
      <c r="B4" s="3" t="str">
        <f>'Infrastructure and Systems'!B4</f>
        <v>Local Area Network (LAN)</v>
      </c>
      <c r="C4" s="3">
        <f>COUNTA('Infrastructure and Systems'!$C$20:$K$20)</f>
        <v>9</v>
      </c>
      <c r="D4" s="17">
        <f>COUNTIF('Infrastructure and Systems'!C21:K21,"No Issue Reported")+COUNTIF('Infrastructure and Systems'!C21:K21,"Partially Working")*0.7+COUNTIF('Infrastructure and Systems'!C21:K21,"Total Failure")*0.3</f>
        <v>9</v>
      </c>
      <c r="E4" s="13">
        <f>D4/C4</f>
        <v>1</v>
      </c>
      <c r="F4" s="2"/>
      <c r="G4" s="12"/>
      <c r="H4" s="6"/>
      <c r="I4" s="6"/>
    </row>
    <row r="5" spans="1:9" x14ac:dyDescent="0.25">
      <c r="A5" s="3">
        <f>'Infrastructure and Systems'!A5</f>
        <v>2</v>
      </c>
      <c r="B5" s="3" t="str">
        <f>'Infrastructure and Systems'!B5</f>
        <v>Wide Area Network (WAN)</v>
      </c>
      <c r="C5" s="3">
        <f>COUNTA('Infrastructure and Systems'!$C$20:$K$20)</f>
        <v>9</v>
      </c>
      <c r="D5" s="17">
        <f>COUNTIF('Infrastructure and Systems'!C22:K22,"No Issue Reported")+COUNTIF('Infrastructure and Systems'!C22:K22,"Partially Working")*0.7+COUNTIF('Infrastructure and Systems'!C22:K22,"Total Failure")*0.3</f>
        <v>9</v>
      </c>
      <c r="E5" s="13">
        <f>D5/C5</f>
        <v>1</v>
      </c>
      <c r="F5" s="2"/>
      <c r="G5" s="2"/>
      <c r="H5" s="2"/>
      <c r="I5" s="2"/>
    </row>
    <row r="6" spans="1:9" x14ac:dyDescent="0.25">
      <c r="A6" s="3">
        <f>'Infrastructure and Systems'!A7</f>
        <v>4</v>
      </c>
      <c r="B6" s="3" t="str">
        <f>'Infrastructure and Systems'!B7</f>
        <v>Firewall</v>
      </c>
      <c r="C6" s="3">
        <f>COUNTA('Infrastructure and Systems'!$C$20:$K$20)</f>
        <v>9</v>
      </c>
      <c r="D6" s="17">
        <f>COUNTIF('Infrastructure and Systems'!C23:K23,"No Issue Reported")+COUNTIF('Infrastructure and Systems'!C23:K23,"Partially Working")*0.7+COUNTIF('Infrastructure and Systems'!C23:K23,"Total Failure")*0.3</f>
        <v>9</v>
      </c>
      <c r="E6" s="13">
        <f>IF('Infrastructure and Systems'!C7="Internet slow even sometimes not available",(D6/C6)/2,(D6/C6))</f>
        <v>1</v>
      </c>
      <c r="F6" s="2"/>
      <c r="G6" s="12"/>
      <c r="H6" s="2"/>
      <c r="I6" s="2"/>
    </row>
    <row r="7" spans="1:9" x14ac:dyDescent="0.25">
      <c r="A7" s="3">
        <f>'Infrastructure and Systems'!A8</f>
        <v>5</v>
      </c>
      <c r="B7" s="3" t="str">
        <f>'Infrastructure and Systems'!B8</f>
        <v>E-Mail Server</v>
      </c>
      <c r="C7" s="3">
        <f>COUNTA('Infrastructure and Systems'!$C$20:$K$20)</f>
        <v>9</v>
      </c>
      <c r="D7">
        <f>COUNTIF('Infrastructure and Systems'!C24:K24,"Domino in use")*1+COUNTIF('Infrastructure and Systems'!C24:K24,"Exchange in Use")*0.8+COUNTIF('Infrastructure and Systems'!C24:K24,"Domino In Use-Issues")*0.6+COUNTIF('Infrastructure and Systems'!C24:K24,"Exchange In Use-Issues")*0.4+COUNTIF('Infrastructure and Systems'!C24:K24,"None")*0.2</f>
        <v>9</v>
      </c>
      <c r="E7" s="13">
        <f>D7/C7</f>
        <v>1</v>
      </c>
      <c r="F7" s="2"/>
      <c r="G7" s="12"/>
      <c r="H7" s="2"/>
      <c r="I7" s="2"/>
    </row>
    <row r="8" spans="1:9" x14ac:dyDescent="0.25">
      <c r="A8" s="3">
        <f>'Infrastructure and Systems'!A9</f>
        <v>6</v>
      </c>
      <c r="B8" s="3" t="str">
        <f>'Infrastructure and Systems'!B9</f>
        <v>Business Servers (EWS, Chaipro)</v>
      </c>
      <c r="C8" s="3">
        <f>COUNTA('Infrastructure and Systems'!$C$20:$K$20)</f>
        <v>9</v>
      </c>
      <c r="D8" s="17">
        <f>COUNTIF('Infrastructure and Systems'!C25:K25,"No Issue Reported")+COUNTIF('Infrastructure and Systems'!C25:K25,"Partially Working")*0.7+COUNTIF('Infrastructure and Systems'!C25:K25,"Total Failure")*0.3</f>
        <v>9</v>
      </c>
      <c r="E8" s="13">
        <f>D8/C8</f>
        <v>1</v>
      </c>
      <c r="F8" s="2"/>
      <c r="G8" s="2"/>
      <c r="H8" s="2"/>
      <c r="I8" s="2"/>
    </row>
    <row r="9" spans="1:9" x14ac:dyDescent="0.25">
      <c r="A9" s="3">
        <f>'Infrastructure and Systems'!A10</f>
        <v>7</v>
      </c>
      <c r="B9" s="3" t="str">
        <f>'Infrastructure and Systems'!B10</f>
        <v>Electronic Weighment Solution (EWS Version)</v>
      </c>
      <c r="C9" s="3">
        <f>COUNTA('Infrastructure and Systems'!$C$20:$K$20)</f>
        <v>9</v>
      </c>
      <c r="D9" s="17">
        <f>COUNTIF('Infrastructure and Systems'!C26:K26,"No Issue Reported")+COUNTIF('Infrastructure and Systems'!C26:K26,"Partially Working")*0.7+COUNTIF('Infrastructure and Systems'!C26:K26,"Total Failure")*0.3</f>
        <v>9</v>
      </c>
      <c r="E9" s="13">
        <f>D9/C9</f>
        <v>1</v>
      </c>
      <c r="F9" s="2"/>
      <c r="G9" s="12"/>
      <c r="H9" s="2"/>
      <c r="I9" s="2"/>
    </row>
    <row r="10" spans="1:9" x14ac:dyDescent="0.25">
      <c r="A10" s="3" t="e">
        <f>'Infrastructure and Systems'!#REF!</f>
        <v>#REF!</v>
      </c>
      <c r="B10" s="3" t="e">
        <f>'Infrastructure and Systems'!#REF!</f>
        <v>#REF!</v>
      </c>
      <c r="C10" s="3">
        <f>COUNTA('Infrastructure and Systems'!$C$20:$K$20)</f>
        <v>9</v>
      </c>
      <c r="D10" s="17">
        <f>COUNTIF('Infrastructure and Systems'!C27:K27,"No Issue Reported")+COUNTIF('Infrastructure and Systems'!C27:K27,"Partially Working")*0.7+COUNTIF('Infrastructure and Systems'!C27:K27,"Total Failure")*0.3</f>
        <v>9</v>
      </c>
      <c r="E10" s="13">
        <f>D10/C10</f>
        <v>1</v>
      </c>
      <c r="F10" s="2"/>
      <c r="G10" s="2"/>
      <c r="H10" s="2"/>
      <c r="I10" s="2"/>
    </row>
    <row r="11" spans="1:9" x14ac:dyDescent="0.25">
      <c r="A11" s="2"/>
      <c r="B11" s="1" t="s">
        <v>29</v>
      </c>
      <c r="C11" s="1"/>
      <c r="D11" s="1"/>
      <c r="E11" s="4">
        <f>AVERAGE(E4:E10)</f>
        <v>1</v>
      </c>
      <c r="F11" s="2"/>
      <c r="G11" s="2"/>
      <c r="H11" s="2"/>
      <c r="I11" s="2"/>
    </row>
    <row r="12" spans="1:9" x14ac:dyDescent="0.25">
      <c r="B12" s="8"/>
      <c r="C12" s="8"/>
      <c r="D12" s="8"/>
      <c r="E12" s="9"/>
    </row>
    <row r="13" spans="1:9" ht="13.8" x14ac:dyDescent="0.25">
      <c r="B13" s="10" t="s">
        <v>40</v>
      </c>
    </row>
    <row r="14" spans="1:9" ht="26.4" x14ac:dyDescent="0.25">
      <c r="A14" s="5" t="s">
        <v>34</v>
      </c>
      <c r="B14" s="5" t="s">
        <v>33</v>
      </c>
      <c r="C14" s="6" t="s">
        <v>28</v>
      </c>
      <c r="D14" s="6" t="s">
        <v>44</v>
      </c>
      <c r="E14" s="6" t="s">
        <v>32</v>
      </c>
      <c r="F14" s="6" t="s">
        <v>31</v>
      </c>
      <c r="G14" s="5" t="s">
        <v>30</v>
      </c>
      <c r="H14" s="5"/>
      <c r="I14" s="5"/>
    </row>
    <row r="15" spans="1:9" ht="12.75" customHeight="1" x14ac:dyDescent="0.25">
      <c r="A15" s="3">
        <v>1</v>
      </c>
      <c r="B15" s="3" t="s">
        <v>15</v>
      </c>
      <c r="C15" s="3">
        <f>COUNTA('Infrastructure and Systems'!$C$20:$K$20)</f>
        <v>9</v>
      </c>
      <c r="D15" s="17" t="e">
        <f>COUNTIF('Chaipro-SAP'!#REF!,"SAP")*1+COUNTIF('Chaipro-SAP'!#REF!,"2.5.5.7")*1+COUNTIF('Chaipro-SAP'!#REF!,"Other version Working")*0.8+COUNTIF('Chaipro-SAP'!#REF!,"2.5.5.7 With Issues")*0.6+COUNTIF('Chaipro-SAP'!#REF!,"Other version With Issues")*0.4 + COUNTIF('Chaipro-SAP'!C3:N3,"None")*0.25</f>
        <v>#REF!</v>
      </c>
      <c r="E15" s="13" t="e">
        <f t="shared" ref="E15:E21" si="0">D15/C15</f>
        <v>#REF!</v>
      </c>
      <c r="F15" s="2"/>
      <c r="G15" s="2"/>
      <c r="H15" s="2"/>
      <c r="I15" s="2"/>
    </row>
    <row r="16" spans="1:9" ht="13.5" customHeight="1" x14ac:dyDescent="0.25">
      <c r="A16" s="3">
        <v>2</v>
      </c>
      <c r="B16" s="3" t="s">
        <v>16</v>
      </c>
      <c r="C16" s="3">
        <f>COUNTA('Infrastructure and Systems'!$C$20:$K$20)</f>
        <v>9</v>
      </c>
      <c r="D16" s="17" t="e">
        <f>COUNTIF('Chaipro-SAP'!#REF!,"SAP")*1+COUNTIF('Chaipro-SAP'!#REF!,"2.5.5.7")*1+COUNTIF('Chaipro-SAP'!#REF!,"Other version Working")*0.8+COUNTIF('Chaipro-SAP'!#REF!,"2.5.5.7 With Issues")*0.6+COUNTIF('Chaipro-SAP'!#REF!,"Other version With Issues")*0.4 + COUNTIF('Chaipro-SAP'!C4:N4,"None")*0.25</f>
        <v>#REF!</v>
      </c>
      <c r="E16" s="13" t="e">
        <f t="shared" si="0"/>
        <v>#REF!</v>
      </c>
      <c r="F16" s="2"/>
      <c r="G16" s="2"/>
      <c r="H16" s="2"/>
      <c r="I16" s="2"/>
    </row>
    <row r="17" spans="1:9" ht="30" customHeight="1" x14ac:dyDescent="0.25">
      <c r="A17" s="3">
        <v>3</v>
      </c>
      <c r="B17" s="3" t="s">
        <v>17</v>
      </c>
      <c r="C17" s="3">
        <f>COUNTA('Infrastructure and Systems'!$C$20:$K$20)</f>
        <v>9</v>
      </c>
      <c r="D17" s="17" t="e">
        <f>COUNTIF('Chaipro-SAP'!#REF!,"2.8.0.0")*1+COUNTIF('Chaipro-SAP'!#REF!,"Other version Working")*0.8+COUNTIF('Chaipro-SAP'!#REF!,"2.8.0.0 With Issues")*0.6+COUNTIF('Chaipro-SAP'!#REF!,"Other version With Issues")*0.4 + COUNTIF('Chaipro-SAP'!C5:N5,"None")*0.25</f>
        <v>#REF!</v>
      </c>
      <c r="E17" s="13" t="e">
        <f t="shared" si="0"/>
        <v>#REF!</v>
      </c>
      <c r="F17" s="12"/>
      <c r="G17" s="12"/>
      <c r="H17" s="2"/>
      <c r="I17" s="2"/>
    </row>
    <row r="18" spans="1:9" x14ac:dyDescent="0.25">
      <c r="A18" s="3">
        <v>4</v>
      </c>
      <c r="B18" s="3" t="s">
        <v>18</v>
      </c>
      <c r="C18" s="3">
        <f>COUNTA('Infrastructure and Systems'!$C$20:$K$20)</f>
        <v>9</v>
      </c>
      <c r="D18" s="17" t="e">
        <f>COUNTIF('Chaipro-SAP'!#REF!,"3.2.5.1")*1+COUNTIF('Chaipro-SAP'!#REF!,"Other version Working")*0.8+COUNTIF('Chaipro-SAP'!#REF!,"3.2.5.1 With Issues")*0.6+COUNTIF('Chaipro-SAP'!#REF!,"Other version With Issues")*0.4 + COUNTIF('Chaipro-SAP'!#REF!,"None")*0.25</f>
        <v>#REF!</v>
      </c>
      <c r="E18" s="13" t="e">
        <f t="shared" si="0"/>
        <v>#REF!</v>
      </c>
      <c r="F18" s="2"/>
      <c r="G18" s="2"/>
      <c r="H18" s="2"/>
      <c r="I18" s="2"/>
    </row>
    <row r="19" spans="1:9" x14ac:dyDescent="0.25">
      <c r="A19" s="3">
        <v>6</v>
      </c>
      <c r="B19" s="3" t="s">
        <v>19</v>
      </c>
      <c r="C19" s="3">
        <f>COUNTA('Infrastructure and Systems'!$C$20:$K$20)</f>
        <v>9</v>
      </c>
      <c r="D19" s="17" t="e">
        <f>COUNTIF('Chaipro-SAP'!#REF!,"Working")*1+COUNTIF('Chaipro-SAP'!#REF!,"Working With Issues")*0.5</f>
        <v>#REF!</v>
      </c>
      <c r="E19" s="13" t="e">
        <f t="shared" si="0"/>
        <v>#REF!</v>
      </c>
      <c r="F19" s="2"/>
      <c r="G19" s="2"/>
      <c r="H19" s="2"/>
      <c r="I19" s="2"/>
    </row>
    <row r="20" spans="1:9" x14ac:dyDescent="0.25">
      <c r="A20" s="3">
        <v>7</v>
      </c>
      <c r="B20" s="3" t="s">
        <v>20</v>
      </c>
      <c r="C20" s="3">
        <f>COUNTA('Infrastructure and Systems'!$C$20:$K$20)</f>
        <v>9</v>
      </c>
      <c r="D20" s="17" t="e">
        <f>COUNTIF('Chaipro-SAP'!#REF!,"1.0.0.3")*1+COUNTIF('Chaipro-SAP'!#REF!,"Other version Working")*0.8+COUNTIF('Chaipro-SAP'!#REF!,"1.0.0.3 With Issues")*0.6+COUNTIF('Chaipro-SAP'!#REF!,"Other version With Issues")*0.4 + COUNTIF('Chaipro-SAP'!B8:L8,"None")*0.25</f>
        <v>#REF!</v>
      </c>
      <c r="E20" s="13" t="e">
        <f t="shared" si="0"/>
        <v>#REF!</v>
      </c>
      <c r="F20" s="2"/>
      <c r="G20" s="12"/>
      <c r="H20" s="2"/>
      <c r="I20" s="2"/>
    </row>
    <row r="21" spans="1:9" x14ac:dyDescent="0.25">
      <c r="A21" s="3">
        <v>8</v>
      </c>
      <c r="B21" s="3" t="s">
        <v>21</v>
      </c>
      <c r="C21" s="3">
        <f>COUNTA('Infrastructure and Systems'!$C$20:$K$20)</f>
        <v>9</v>
      </c>
      <c r="D21" s="17" t="e">
        <f>COUNTIF('Chaipro-SAP'!#REF!,"2.2")*1+COUNTIF('Chaipro-SAP'!#REF!,"Other version Working")*0.8+COUNTIF('Chaipro-SAP'!#REF!,"2.2 With Issues")*0.6+COUNTIF('Chaipro-SAP'!#REF!,"Other version With Issues")*0.4 + COUNTIF('Chaipro-SAP'!#REF!,"None")*0.25</f>
        <v>#REF!</v>
      </c>
      <c r="E21" s="13" t="e">
        <f t="shared" si="0"/>
        <v>#REF!</v>
      </c>
      <c r="F21" s="2"/>
      <c r="G21" s="12"/>
      <c r="H21" s="2"/>
      <c r="I21" s="2"/>
    </row>
    <row r="22" spans="1:9" x14ac:dyDescent="0.25">
      <c r="A22" s="2"/>
      <c r="B22" s="1" t="s">
        <v>29</v>
      </c>
      <c r="C22" s="1"/>
      <c r="D22" s="1"/>
      <c r="E22" s="4" t="e">
        <f>AVERAGE(E15:E21)</f>
        <v>#REF!</v>
      </c>
      <c r="F22" s="2"/>
      <c r="G22" s="2"/>
      <c r="H22" s="2"/>
      <c r="I22" s="2"/>
    </row>
    <row r="23" spans="1:9" x14ac:dyDescent="0.25">
      <c r="B23" s="8"/>
      <c r="C23" s="8"/>
      <c r="D23" s="8"/>
      <c r="E23" s="9"/>
    </row>
    <row r="24" spans="1:9" ht="13.8" x14ac:dyDescent="0.25">
      <c r="B24" s="10" t="s">
        <v>42</v>
      </c>
    </row>
    <row r="25" spans="1:9" ht="26.4" x14ac:dyDescent="0.25">
      <c r="A25" s="5" t="s">
        <v>34</v>
      </c>
      <c r="B25" s="5" t="s">
        <v>33</v>
      </c>
      <c r="C25" s="6" t="s">
        <v>28</v>
      </c>
      <c r="D25" s="6" t="s">
        <v>44</v>
      </c>
      <c r="E25" s="6" t="s">
        <v>32</v>
      </c>
      <c r="F25" s="6" t="s">
        <v>31</v>
      </c>
      <c r="G25" s="5" t="s">
        <v>30</v>
      </c>
      <c r="H25" s="5"/>
      <c r="I25" s="5"/>
    </row>
    <row r="26" spans="1:9" ht="15.6" x14ac:dyDescent="0.3">
      <c r="A26" s="3">
        <v>1</v>
      </c>
      <c r="B26" s="3" t="s">
        <v>22</v>
      </c>
      <c r="C26" s="3">
        <f>COUNTA('Infrastructure and Systems'!$C$20:$K$20)</f>
        <v>9</v>
      </c>
      <c r="D26" s="17" t="e">
        <f>COUNTIF('ICT Inventory'!#REF!,"No Issue Reported")+COUNTIF('ICT Inventory'!#REF!,"Partially Working")*0.7+COUNTIF('ICT Inventory'!#REF!,"Total Failure")*0.3</f>
        <v>#REF!</v>
      </c>
      <c r="E26" s="13" t="e">
        <f>D26/C26</f>
        <v>#REF!</v>
      </c>
      <c r="F26" s="2"/>
      <c r="G26" s="12"/>
      <c r="H26" s="2"/>
      <c r="I26" s="2"/>
    </row>
    <row r="27" spans="1:9" ht="13.8" x14ac:dyDescent="0.3">
      <c r="A27" s="3">
        <v>2</v>
      </c>
      <c r="B27" s="3" t="s">
        <v>23</v>
      </c>
      <c r="C27" s="3">
        <f>COUNTA('Infrastructure and Systems'!$C$20:$K$20)</f>
        <v>9</v>
      </c>
      <c r="D27" s="17" t="e">
        <f>COUNTIF('ICT Inventory'!#REF!,"No Issue Reported")+COUNTIF('ICT Inventory'!#REF!,"Partially Working")*0.7+COUNTIF('ICT Inventory'!#REF!,"Total Failure")*0.3</f>
        <v>#REF!</v>
      </c>
      <c r="E27" s="13" t="e">
        <f>D27/C27</f>
        <v>#REF!</v>
      </c>
      <c r="F27" s="2"/>
      <c r="G27" s="12"/>
      <c r="H27" s="2"/>
      <c r="I27" s="2"/>
    </row>
    <row r="28" spans="1:9" ht="27.6" x14ac:dyDescent="0.3">
      <c r="A28" s="3">
        <v>3</v>
      </c>
      <c r="B28" s="11" t="s">
        <v>24</v>
      </c>
      <c r="C28" s="3">
        <f>COUNTA('Infrastructure and Systems'!$C$20:$K$20)</f>
        <v>9</v>
      </c>
      <c r="D28" s="17" t="e">
        <f>COUNTIF('ICT Inventory'!#REF!,"No Issue Reported")+COUNTIF('ICT Inventory'!#REF!,"Partially Working")*0.7+COUNTIF('ICT Inventory'!#REF!,"Total Failure")*0.3</f>
        <v>#REF!</v>
      </c>
      <c r="E28" s="13" t="e">
        <f>D28/C28</f>
        <v>#REF!</v>
      </c>
      <c r="F28" s="12"/>
      <c r="G28" s="12"/>
      <c r="H28" s="2"/>
      <c r="I28" s="2"/>
    </row>
    <row r="29" spans="1:9" ht="14.4" x14ac:dyDescent="0.3">
      <c r="A29" s="3">
        <v>4</v>
      </c>
      <c r="B29" s="3" t="s">
        <v>25</v>
      </c>
      <c r="C29" s="3">
        <f>COUNTA('Infrastructure and Systems'!$C$20:$K$20)</f>
        <v>9</v>
      </c>
      <c r="D29" s="17" t="e">
        <f>COUNTIF('ICT Inventory'!#REF!,"No Issue Reported")+COUNTIF('ICT Inventory'!#REF!,"Partially Working")*0.7+COUNTIF('ICT Inventory'!#REF!,"Total Failure")*0.3</f>
        <v>#REF!</v>
      </c>
      <c r="E29" s="13" t="e">
        <f>D29/C29</f>
        <v>#REF!</v>
      </c>
      <c r="F29" s="2"/>
      <c r="G29" s="2"/>
      <c r="H29" s="2"/>
      <c r="I29" s="2"/>
    </row>
    <row r="30" spans="1:9" x14ac:dyDescent="0.25">
      <c r="A30" s="2"/>
      <c r="B30" s="1" t="s">
        <v>29</v>
      </c>
      <c r="C30" s="1"/>
      <c r="D30" s="1"/>
      <c r="E30" s="4" t="e">
        <f>AVERAGE(E26:E29)</f>
        <v>#REF!</v>
      </c>
      <c r="F30" s="2"/>
      <c r="G30" s="2"/>
      <c r="H30" s="2"/>
      <c r="I30" s="2"/>
    </row>
    <row r="31" spans="1:9" x14ac:dyDescent="0.25">
      <c r="A31" s="7"/>
      <c r="B31" s="7"/>
      <c r="C31" s="7"/>
      <c r="E31" s="14"/>
    </row>
    <row r="32" spans="1:9" ht="13.8" x14ac:dyDescent="0.25">
      <c r="B32" s="10" t="s">
        <v>41</v>
      </c>
    </row>
    <row r="33" spans="1:9" ht="26.4" x14ac:dyDescent="0.25">
      <c r="A33" s="5" t="s">
        <v>34</v>
      </c>
      <c r="B33" s="5" t="s">
        <v>33</v>
      </c>
      <c r="C33" s="6" t="s">
        <v>28</v>
      </c>
      <c r="D33" s="6" t="s">
        <v>44</v>
      </c>
      <c r="E33" s="6" t="s">
        <v>32</v>
      </c>
      <c r="F33" s="6" t="s">
        <v>31</v>
      </c>
      <c r="G33" s="5" t="s">
        <v>30</v>
      </c>
      <c r="H33" s="5"/>
      <c r="I33" s="5"/>
    </row>
    <row r="34" spans="1:9" x14ac:dyDescent="0.25">
      <c r="A34" s="3">
        <v>1</v>
      </c>
      <c r="B34" s="3" t="s">
        <v>26</v>
      </c>
      <c r="C34" s="3">
        <f>COUNTA(BCP!#REF!)</f>
        <v>1</v>
      </c>
      <c r="D34" s="3">
        <f>COUNTA(BCP!#REF!)</f>
        <v>1</v>
      </c>
      <c r="E34" s="13">
        <f>D34/C34</f>
        <v>1</v>
      </c>
      <c r="F34" s="2"/>
      <c r="G34" s="2"/>
      <c r="H34" s="2"/>
      <c r="I34" s="2"/>
    </row>
    <row r="35" spans="1:9" x14ac:dyDescent="0.25">
      <c r="A35" s="2"/>
      <c r="B35" s="1" t="s">
        <v>29</v>
      </c>
      <c r="C35" s="1"/>
      <c r="D35" s="1"/>
      <c r="E35" s="4">
        <f>AVERAGE(E34)</f>
        <v>1</v>
      </c>
      <c r="F35" s="2"/>
      <c r="G35" s="2"/>
      <c r="H35" s="2"/>
      <c r="I35" s="2"/>
    </row>
    <row r="38" spans="1:9" ht="13.8" x14ac:dyDescent="0.25">
      <c r="B38" s="10" t="s">
        <v>48</v>
      </c>
    </row>
    <row r="39" spans="1:9" ht="26.4" x14ac:dyDescent="0.25">
      <c r="A39" s="5" t="s">
        <v>34</v>
      </c>
      <c r="B39" s="5" t="s">
        <v>33</v>
      </c>
      <c r="C39" s="6" t="s">
        <v>28</v>
      </c>
      <c r="D39" s="6" t="s">
        <v>67</v>
      </c>
      <c r="E39" s="6" t="s">
        <v>50</v>
      </c>
      <c r="F39" s="6" t="s">
        <v>31</v>
      </c>
      <c r="G39" s="5" t="s">
        <v>30</v>
      </c>
      <c r="H39" s="5"/>
      <c r="I39" s="5"/>
    </row>
    <row r="40" spans="1:9" s="7" customFormat="1" x14ac:dyDescent="0.25">
      <c r="A40" s="3">
        <v>1</v>
      </c>
      <c r="B40" s="3" t="s">
        <v>49</v>
      </c>
      <c r="C40" s="3">
        <f>COUNTA('ICT Cost'!$B$13:$J$13)</f>
        <v>9</v>
      </c>
      <c r="D40" s="44" t="str">
        <f>'ICT Cost'!J18</f>
        <v> 415,810</v>
      </c>
      <c r="E40" s="43"/>
      <c r="F40" s="11"/>
      <c r="G40" s="11"/>
      <c r="H40" s="3"/>
      <c r="I40" s="3"/>
    </row>
    <row r="41" spans="1:9" x14ac:dyDescent="0.25">
      <c r="A41" s="2"/>
      <c r="B41" s="1" t="s">
        <v>29</v>
      </c>
      <c r="C41" s="1"/>
      <c r="D41" s="1"/>
      <c r="E41" s="4"/>
      <c r="F41" s="2"/>
      <c r="G41" s="2"/>
      <c r="H41" s="2"/>
      <c r="I41" s="2"/>
    </row>
  </sheetData>
  <phoneticPr fontId="3" type="noConversion"/>
  <pageMargins left="0.75" right="0.75" top="1" bottom="1" header="0.5" footer="0.5"/>
  <pageSetup paperSize="9" orientation="portrait" horizontalDpi="300" verticalDpi="4294967295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I44"/>
  <sheetViews>
    <sheetView workbookViewId="0">
      <selection activeCell="D4" sqref="D4"/>
    </sheetView>
  </sheetViews>
  <sheetFormatPr defaultRowHeight="13.2" x14ac:dyDescent="0.25"/>
  <cols>
    <col min="1" max="1" width="4" bestFit="1" customWidth="1"/>
    <col min="2" max="2" width="62.33203125" customWidth="1"/>
    <col min="3" max="3" width="9.5546875" bestFit="1" customWidth="1"/>
    <col min="4" max="4" width="11.33203125" bestFit="1" customWidth="1"/>
    <col min="5" max="5" width="10.109375" customWidth="1"/>
    <col min="6" max="6" width="11.6640625" customWidth="1"/>
    <col min="7" max="7" width="10.33203125" customWidth="1"/>
  </cols>
  <sheetData>
    <row r="1" spans="1:9" x14ac:dyDescent="0.25">
      <c r="B1" s="8" t="s">
        <v>45</v>
      </c>
    </row>
    <row r="2" spans="1:9" ht="13.8" x14ac:dyDescent="0.25">
      <c r="B2" s="10" t="s">
        <v>39</v>
      </c>
    </row>
    <row r="3" spans="1:9" ht="39.6" x14ac:dyDescent="0.25">
      <c r="A3" s="5" t="str">
        <f>'Infrastructure and Systems'!A3</f>
        <v>No.</v>
      </c>
      <c r="B3" s="5" t="s">
        <v>33</v>
      </c>
      <c r="C3" s="6" t="s">
        <v>28</v>
      </c>
      <c r="D3" s="6" t="s">
        <v>45</v>
      </c>
      <c r="E3" s="6" t="s">
        <v>32</v>
      </c>
      <c r="F3" s="6" t="s">
        <v>35</v>
      </c>
      <c r="G3" s="6" t="s">
        <v>36</v>
      </c>
      <c r="H3" s="6" t="s">
        <v>37</v>
      </c>
      <c r="I3" s="6" t="s">
        <v>38</v>
      </c>
    </row>
    <row r="4" spans="1:9" x14ac:dyDescent="0.25">
      <c r="A4" s="3">
        <f>'Infrastructure and Systems'!A4</f>
        <v>1</v>
      </c>
      <c r="B4" s="3" t="str">
        <f>'Infrastructure and Systems'!B4</f>
        <v>Local Area Network (LAN)</v>
      </c>
      <c r="C4" s="3">
        <f>COUNTA('Infrastructure and Systems'!$C$37:$J$37)</f>
        <v>8</v>
      </c>
      <c r="D4" s="17" t="e">
        <f>COUNTIF('Infrastructure and Systems'!#REF!,"No Issue Reported")+COUNTIF('Infrastructure and Systems'!#REF!,"Partially Working")*0.7+COUNTIF('Infrastructure and Systems'!#REF!,"Total Failure")*0.3</f>
        <v>#REF!</v>
      </c>
      <c r="E4" s="13" t="e">
        <f>D4/C4</f>
        <v>#REF!</v>
      </c>
      <c r="F4" s="2"/>
      <c r="G4" s="12"/>
      <c r="H4" s="6"/>
      <c r="I4" s="6"/>
    </row>
    <row r="5" spans="1:9" x14ac:dyDescent="0.25">
      <c r="A5" s="3">
        <f>'Infrastructure and Systems'!A5</f>
        <v>2</v>
      </c>
      <c r="B5" s="3" t="str">
        <f>'Infrastructure and Systems'!B5</f>
        <v>Wide Area Network (WAN)</v>
      </c>
      <c r="C5" s="3">
        <f>COUNTA('Infrastructure and Systems'!$C$37:$J$37)</f>
        <v>8</v>
      </c>
      <c r="D5" s="17">
        <f>COUNTIF('Infrastructure and Systems'!C38:J38,"No Issue Reported")+COUNTIF('Infrastructure and Systems'!C38:J38,"Partially Working")*0.7+COUNTIF('Infrastructure and Systems'!C38:J38,"Total Failure")*0.3</f>
        <v>0</v>
      </c>
      <c r="E5" s="13">
        <f>D5/C5</f>
        <v>0</v>
      </c>
      <c r="F5" s="2"/>
      <c r="G5" s="12"/>
      <c r="H5" s="2"/>
      <c r="I5" s="2"/>
    </row>
    <row r="6" spans="1:9" x14ac:dyDescent="0.25">
      <c r="A6" s="3">
        <f>'Infrastructure and Systems'!A7</f>
        <v>4</v>
      </c>
      <c r="B6" s="3" t="str">
        <f>'Infrastructure and Systems'!B7</f>
        <v>Firewall</v>
      </c>
      <c r="C6" s="3">
        <f>COUNTA('Infrastructure and Systems'!$C$37:$J$37)</f>
        <v>8</v>
      </c>
      <c r="D6" s="17">
        <f>COUNTIF('Infrastructure and Systems'!C39:J39,"No Issue Reported")+COUNTIF('Infrastructure and Systems'!C39:J39,"Partially Working")*0.7+COUNTIF('Infrastructure and Systems'!C39:J39,"Total Failure")*0.3</f>
        <v>0</v>
      </c>
      <c r="E6" s="13">
        <f>IF('Infrastructure and Systems'!C7="Internet slow even sometimes not available",(D6/C6)/2,(D6/C6))</f>
        <v>0</v>
      </c>
      <c r="F6" s="2"/>
      <c r="G6" s="12"/>
      <c r="H6" s="2"/>
      <c r="I6" s="2"/>
    </row>
    <row r="7" spans="1:9" x14ac:dyDescent="0.25">
      <c r="A7" s="3">
        <f>'Infrastructure and Systems'!A8</f>
        <v>5</v>
      </c>
      <c r="B7" s="3" t="str">
        <f>'Infrastructure and Systems'!B8</f>
        <v>E-Mail Server</v>
      </c>
      <c r="C7" s="3">
        <f>COUNTA('Infrastructure and Systems'!$C$37:$J$37)</f>
        <v>8</v>
      </c>
      <c r="D7">
        <f>COUNTIF('Infrastructure and Systems'!C40:J40,"Domino in use")*1+COUNTIF('Infrastructure and Systems'!C40:J40,"Exchange in Use")*0.8+COUNTIF('Infrastructure and Systems'!C40:J40,"Domino In Use-Issues")*0.6+COUNTIF('Infrastructure and Systems'!C24:K24,"Exchange In Use-Issues")*0.4+COUNTIF('Infrastructure and Systems'!C24:K24,"None")*0.2</f>
        <v>0</v>
      </c>
      <c r="E7" s="13">
        <f>D7/C7</f>
        <v>0</v>
      </c>
      <c r="F7" s="2"/>
      <c r="G7" s="12"/>
      <c r="H7" s="2"/>
      <c r="I7" s="2"/>
    </row>
    <row r="8" spans="1:9" x14ac:dyDescent="0.25">
      <c r="A8" s="3">
        <f>'Infrastructure and Systems'!A9</f>
        <v>6</v>
      </c>
      <c r="B8" s="3" t="str">
        <f>'Infrastructure and Systems'!B9</f>
        <v>Business Servers (EWS, Chaipro)</v>
      </c>
      <c r="C8" s="3">
        <f>COUNTA('Infrastructure and Systems'!$C$37:$J$37)</f>
        <v>8</v>
      </c>
      <c r="D8" s="17">
        <f>COUNTIF('Infrastructure and Systems'!C41:J41,"No Issue Reported")+COUNTIF('Infrastructure and Systems'!C41:J41,"Partially Working")*0.7+COUNTIF('Infrastructure and Systems'!C41:J41,"Total Failure")*0.3</f>
        <v>0</v>
      </c>
      <c r="E8" s="13">
        <f>D8/C8</f>
        <v>0</v>
      </c>
      <c r="F8" s="2"/>
      <c r="G8" s="12"/>
      <c r="H8" s="2"/>
      <c r="I8" s="2"/>
    </row>
    <row r="9" spans="1:9" ht="12.75" customHeight="1" x14ac:dyDescent="0.25">
      <c r="A9" s="3">
        <f>'Infrastructure and Systems'!A10</f>
        <v>7</v>
      </c>
      <c r="B9" s="3" t="str">
        <f>'Infrastructure and Systems'!B10</f>
        <v>Electronic Weighment Solution (EWS Version)</v>
      </c>
      <c r="C9" s="3">
        <f>COUNTA('Infrastructure and Systems'!$C$37:$J$37)</f>
        <v>8</v>
      </c>
      <c r="D9" s="17">
        <f>COUNTIF('Infrastructure and Systems'!C42:J42,"No Issue Reported")+COUNTIF('Infrastructure and Systems'!C42:J42,"Partially Working")*0.7+COUNTIF('Infrastructure and Systems'!C42:J42,"Total Failure")*0.3</f>
        <v>0</v>
      </c>
      <c r="E9" s="13">
        <f>D9/C9</f>
        <v>0</v>
      </c>
      <c r="F9" s="2"/>
      <c r="G9" s="2"/>
      <c r="H9" s="2"/>
      <c r="I9" s="2"/>
    </row>
    <row r="10" spans="1:9" x14ac:dyDescent="0.25">
      <c r="A10" s="3" t="e">
        <f>'Infrastructure and Systems'!#REF!</f>
        <v>#REF!</v>
      </c>
      <c r="B10" s="3" t="e">
        <f>'Infrastructure and Systems'!#REF!</f>
        <v>#REF!</v>
      </c>
      <c r="C10" s="3">
        <f>COUNTA('Infrastructure and Systems'!$C$37:$J$37)</f>
        <v>8</v>
      </c>
      <c r="D10" s="17">
        <f>COUNTIF('Infrastructure and Systems'!C43:J43,"No Issue Reported")+COUNTIF('Infrastructure and Systems'!C43:J43,"Partially Working")*0.7+COUNTIF('Infrastructure and Systems'!C43:J43,"Total Failure")*0.3</f>
        <v>0</v>
      </c>
      <c r="E10" s="13">
        <f>D10/C10</f>
        <v>0</v>
      </c>
      <c r="F10" s="2"/>
      <c r="G10" s="12"/>
      <c r="H10" s="2"/>
      <c r="I10" s="2"/>
    </row>
    <row r="11" spans="1:9" x14ac:dyDescent="0.25">
      <c r="A11" s="2"/>
      <c r="B11" s="1" t="s">
        <v>29</v>
      </c>
      <c r="C11" s="1"/>
      <c r="D11" s="1"/>
      <c r="E11" s="4" t="e">
        <f>AVERAGE(E4:E10)</f>
        <v>#REF!</v>
      </c>
      <c r="F11" s="2"/>
      <c r="G11" s="12"/>
      <c r="H11" s="2"/>
      <c r="I11" s="2"/>
    </row>
    <row r="12" spans="1:9" x14ac:dyDescent="0.25">
      <c r="B12" s="8"/>
      <c r="C12" s="8"/>
      <c r="D12" s="8"/>
      <c r="E12" s="9"/>
    </row>
    <row r="13" spans="1:9" ht="13.8" x14ac:dyDescent="0.25">
      <c r="B13" s="10" t="s">
        <v>40</v>
      </c>
    </row>
    <row r="14" spans="1:9" ht="26.4" x14ac:dyDescent="0.25">
      <c r="A14" s="5" t="s">
        <v>34</v>
      </c>
      <c r="B14" s="5" t="s">
        <v>33</v>
      </c>
      <c r="C14" s="6" t="s">
        <v>28</v>
      </c>
      <c r="D14" s="6" t="s">
        <v>45</v>
      </c>
      <c r="E14" s="6" t="s">
        <v>32</v>
      </c>
      <c r="F14" s="6" t="s">
        <v>31</v>
      </c>
      <c r="G14" s="5" t="s">
        <v>30</v>
      </c>
      <c r="H14" s="5"/>
      <c r="I14" s="5"/>
    </row>
    <row r="15" spans="1:9" ht="12.75" customHeight="1" x14ac:dyDescent="0.25">
      <c r="A15" s="3">
        <v>1</v>
      </c>
      <c r="B15" s="3" t="s">
        <v>15</v>
      </c>
      <c r="C15" s="3">
        <f>COUNTA('Infrastructure and Systems'!$C$37:$J$37)</f>
        <v>8</v>
      </c>
      <c r="D15" s="17">
        <f>COUNTIF('Chaipro-SAP'!C28:J28,"2.5.5.7")*1+COUNTIF('Chaipro-SAP'!C28:J28,"2.5.5.8")*1+COUNTIF('Chaipro-SAP'!C28:J28,"2.5.5.9")*1+COUNTIF('Chaipro-SAP'!C28:J28,"2.5.6.0")*1+COUNTIF('Chaipro-SAP'!C28:J28,"SAP")*1+COUNTIF('Chaipro-SAP'!C28:J28,"Other version Working")*0.8+COUNTIF('Chaipro-SAP'!C28:J28,"2.5.5.7 With Issues")*0.6+COUNTIF('Chaipro-SAP'!C28:J28,"Other version With Issues")*0.4 + COUNTIF('Chaipro-SAP'!C28:J28,"None")*0.25</f>
        <v>2</v>
      </c>
      <c r="E15" s="13">
        <f t="shared" ref="E15:E21" si="0">D15/C15</f>
        <v>0.25</v>
      </c>
      <c r="F15" s="2"/>
      <c r="G15" s="2"/>
      <c r="H15" s="2"/>
      <c r="I15" s="2"/>
    </row>
    <row r="16" spans="1:9" ht="13.5" customHeight="1" x14ac:dyDescent="0.25">
      <c r="A16" s="3">
        <v>2</v>
      </c>
      <c r="B16" s="3" t="s">
        <v>16</v>
      </c>
      <c r="C16" s="3">
        <f>COUNTA('Infrastructure and Systems'!$C$37:$J$37)</f>
        <v>8</v>
      </c>
      <c r="D16" s="17">
        <f>COUNTIF('Chaipro-SAP'!C29:J29,"2.5.2.5")*1+COUNTIF('Chaipro-SAP'!C29:J29,"2.5.2.7")*1+COUNTIF('Chaipro-SAP'!C29:J29,"SAP")*1+COUNTIF('Chaipro-SAP'!C29:J29,"Other version Working")*0.8+COUNTIF('Chaipro-SAP'!C29:J29,"2.5.2.5 With Issues")*0.6+COUNTIF('Chaipro-SAP'!C29:J29,"Other version With Issues")*0.4 + COUNTIF('Chaipro-SAP'!C29:J29,"None")*0.25</f>
        <v>2</v>
      </c>
      <c r="E16" s="13">
        <f t="shared" si="0"/>
        <v>0.25</v>
      </c>
      <c r="F16" s="2"/>
      <c r="G16" s="2"/>
      <c r="H16" s="2"/>
      <c r="I16" s="2"/>
    </row>
    <row r="17" spans="1:9" x14ac:dyDescent="0.25">
      <c r="A17" s="3">
        <v>3</v>
      </c>
      <c r="B17" s="3" t="s">
        <v>17</v>
      </c>
      <c r="C17" s="3">
        <f>COUNTA('Infrastructure and Systems'!$C$37:$J$37)</f>
        <v>8</v>
      </c>
      <c r="D17" s="17">
        <f>COUNTIF('Chaipro-SAP'!C30:J30,"3.0.0.1")*1+COUNTIF('Chaipro-SAP'!C30:J30,"2.8.0.0")*1+COUNTIF('Chaipro-SAP'!C30:J30,"Other version Working")*0.8+COUNTIF('Chaipro-SAP'!C30:J30,"2.8.0.0 With Issues")*0.6+COUNTIF('Chaipro-SAP'!C30:J30,"Other version With Issues")*0.4 + COUNTIF('Chaipro-SAP'!C30:J30,"None")*0.25</f>
        <v>2</v>
      </c>
      <c r="E17" s="13">
        <f t="shared" si="0"/>
        <v>0.25</v>
      </c>
      <c r="F17" s="12"/>
      <c r="G17" s="12"/>
      <c r="H17" s="2"/>
      <c r="I17" s="2"/>
    </row>
    <row r="18" spans="1:9" x14ac:dyDescent="0.25">
      <c r="A18" s="3">
        <v>4</v>
      </c>
      <c r="B18" s="3" t="s">
        <v>18</v>
      </c>
      <c r="C18" s="3">
        <f>COUNTA('Infrastructure and Systems'!$C$37:$J$37)</f>
        <v>8</v>
      </c>
      <c r="D18" s="17">
        <f>COUNTIF('Chaipro-SAP'!C31:J31,"3.2.5.1")*1+COUNTIF('Chaipro-SAP'!C31:J31,"Other version Working")*0.8+COUNTIF('Chaipro-SAP'!C31:J31,"3.2.5.1 With Issues")*0.6+COUNTIF('Chaipro-SAP'!C31:J31,"Other version With Issues")*0.4 + COUNTIF('Chaipro-SAP'!C31:J31,"None")*0.25</f>
        <v>2</v>
      </c>
      <c r="E18" s="13">
        <f t="shared" si="0"/>
        <v>0.25</v>
      </c>
      <c r="F18" s="2"/>
      <c r="G18" s="2"/>
      <c r="H18" s="2"/>
      <c r="I18" s="2"/>
    </row>
    <row r="19" spans="1:9" x14ac:dyDescent="0.25">
      <c r="A19" s="3">
        <v>6</v>
      </c>
      <c r="B19" s="3" t="s">
        <v>19</v>
      </c>
      <c r="C19" s="3">
        <f>COUNTA('Infrastructure and Systems'!$C$37:$J$37)</f>
        <v>8</v>
      </c>
      <c r="D19" s="17">
        <f>COUNTIF('Chaipro-SAP'!C32:J32,"Working")*1+COUNTIF('Chaipro-SAP'!C32:J32,"Working With Issues")*0.5</f>
        <v>0</v>
      </c>
      <c r="E19" s="13">
        <f t="shared" si="0"/>
        <v>0</v>
      </c>
      <c r="F19" s="2"/>
      <c r="G19" s="2"/>
      <c r="H19" s="2"/>
      <c r="I19" s="2"/>
    </row>
    <row r="20" spans="1:9" x14ac:dyDescent="0.25">
      <c r="A20" s="3">
        <v>7</v>
      </c>
      <c r="B20" s="3" t="s">
        <v>20</v>
      </c>
      <c r="C20" s="3">
        <f>COUNTA('Infrastructure and Systems'!$C$37:$J$37)</f>
        <v>8</v>
      </c>
      <c r="D20" s="17">
        <f>COUNTIF('Chaipro-SAP'!C33:J33,"1.0.0.3")*1+COUNTIF('Chaipro-SAP'!C33:J33,"Other version Working")*0.8+COUNTIF('Chaipro-SAP'!C22:J33,"1.0.0.3 With Issues")*0.6+COUNTIF('Chaipro-SAP'!C33:J33,"Other version With Issues")*0.4 + COUNTIF('Chaipro-SAP'!B8:L8,"None")*0.25</f>
        <v>0</v>
      </c>
      <c r="E20" s="13">
        <f t="shared" si="0"/>
        <v>0</v>
      </c>
      <c r="F20" s="2"/>
      <c r="G20" s="2"/>
      <c r="H20" s="2"/>
      <c r="I20" s="2"/>
    </row>
    <row r="21" spans="1:9" x14ac:dyDescent="0.25">
      <c r="A21" s="3">
        <v>8</v>
      </c>
      <c r="B21" s="3" t="s">
        <v>21</v>
      </c>
      <c r="C21" s="3">
        <f>COUNTA('Infrastructure and Systems'!$C$37:$J$37)</f>
        <v>8</v>
      </c>
      <c r="D21" s="17" t="e">
        <f>COUNTIF('Chaipro-SAP'!#REF!,"2.2")*1+COUNTIF('Chaipro-SAP'!#REF!,"Other version Working")*0.8+COUNTIF('Chaipro-SAP'!#REF!,"2.2 With Issues")*0.6+COUNTIF('Chaipro-SAP'!#REF!,"Other version With Issues")*0.4 + COUNTIF('Chaipro-SAP'!#REF!,"None")*0.25</f>
        <v>#REF!</v>
      </c>
      <c r="E21" s="13" t="e">
        <f t="shared" si="0"/>
        <v>#REF!</v>
      </c>
      <c r="F21" s="2"/>
      <c r="G21" s="12"/>
      <c r="H21" s="2"/>
      <c r="I21" s="2"/>
    </row>
    <row r="22" spans="1:9" x14ac:dyDescent="0.25">
      <c r="A22" s="2"/>
      <c r="B22" s="1" t="s">
        <v>29</v>
      </c>
      <c r="C22" s="1"/>
      <c r="D22" s="1"/>
      <c r="E22" s="4" t="e">
        <f>AVERAGE(E15:E21)</f>
        <v>#REF!</v>
      </c>
      <c r="F22" s="2"/>
      <c r="G22" s="2"/>
      <c r="H22" s="2"/>
      <c r="I22" s="2"/>
    </row>
    <row r="23" spans="1:9" x14ac:dyDescent="0.25">
      <c r="B23" s="8"/>
      <c r="C23" s="8"/>
      <c r="D23" s="8"/>
      <c r="E23" s="9"/>
    </row>
    <row r="24" spans="1:9" ht="13.8" x14ac:dyDescent="0.25">
      <c r="B24" s="10" t="s">
        <v>42</v>
      </c>
    </row>
    <row r="25" spans="1:9" ht="26.4" x14ac:dyDescent="0.25">
      <c r="A25" s="5" t="s">
        <v>34</v>
      </c>
      <c r="B25" s="5" t="s">
        <v>33</v>
      </c>
      <c r="C25" s="6" t="s">
        <v>28</v>
      </c>
      <c r="D25" s="6" t="s">
        <v>45</v>
      </c>
      <c r="E25" s="6" t="s">
        <v>32</v>
      </c>
      <c r="F25" s="6" t="s">
        <v>31</v>
      </c>
      <c r="G25" s="5" t="s">
        <v>30</v>
      </c>
      <c r="H25" s="5"/>
      <c r="I25" s="5"/>
    </row>
    <row r="26" spans="1:9" ht="15.6" x14ac:dyDescent="0.3">
      <c r="A26" s="3">
        <v>1</v>
      </c>
      <c r="B26" s="3" t="s">
        <v>22</v>
      </c>
      <c r="C26" s="3">
        <f>COUNTA('Infrastructure and Systems'!$C$37:$J$37)</f>
        <v>8</v>
      </c>
      <c r="D26" s="17" t="e">
        <f>COUNTIF('ICT Inventory'!#REF!,"No Issue Reported")+COUNTIF('ICT Inventory'!#REF!,"Partially Working")*0.7+COUNTIF('ICT Inventory'!#REF!,"Total Failure")*0.3</f>
        <v>#REF!</v>
      </c>
      <c r="E26" s="13" t="e">
        <f>D26/C26</f>
        <v>#REF!</v>
      </c>
      <c r="F26" s="2"/>
      <c r="G26" s="2"/>
      <c r="H26" s="2"/>
      <c r="I26" s="2"/>
    </row>
    <row r="27" spans="1:9" ht="13.8" x14ac:dyDescent="0.3">
      <c r="A27" s="3">
        <v>2</v>
      </c>
      <c r="B27" s="3" t="s">
        <v>23</v>
      </c>
      <c r="C27" s="3">
        <f>COUNTA('Infrastructure and Systems'!$C$37:$J$37)</f>
        <v>8</v>
      </c>
      <c r="D27" s="17" t="e">
        <f>COUNTIF('ICT Inventory'!#REF!,"No Issue Reported")+COUNTIF('ICT Inventory'!#REF!,"Partially Working")*0.7+COUNTIF('ICT Inventory'!#REF!,"Total Failure")*0.3</f>
        <v>#REF!</v>
      </c>
      <c r="E27" s="13" t="e">
        <f>D27/C27</f>
        <v>#REF!</v>
      </c>
      <c r="F27" s="2"/>
      <c r="G27" s="2"/>
      <c r="H27" s="2"/>
      <c r="I27" s="2"/>
    </row>
    <row r="28" spans="1:9" ht="31.5" customHeight="1" x14ac:dyDescent="0.3">
      <c r="A28" s="3">
        <v>3</v>
      </c>
      <c r="B28" s="11" t="s">
        <v>24</v>
      </c>
      <c r="C28" s="3">
        <f>COUNTA('Infrastructure and Systems'!$C$37:$J$37)</f>
        <v>8</v>
      </c>
      <c r="D28" s="17" t="e">
        <f>COUNTIF('ICT Inventory'!#REF!,"No Issue Reported")+COUNTIF('ICT Inventory'!#REF!,"Partially Working")*0.7+COUNTIF('ICT Inventory'!#REF!,"Total Failure")*0.3</f>
        <v>#REF!</v>
      </c>
      <c r="E28" s="13" t="e">
        <f>D28/C28</f>
        <v>#REF!</v>
      </c>
      <c r="F28" s="12"/>
      <c r="G28" s="12"/>
      <c r="H28" s="2"/>
      <c r="I28" s="2"/>
    </row>
    <row r="29" spans="1:9" ht="14.4" x14ac:dyDescent="0.3">
      <c r="A29" s="3">
        <v>4</v>
      </c>
      <c r="B29" s="3" t="s">
        <v>25</v>
      </c>
      <c r="C29" s="3">
        <f>COUNTA('Infrastructure and Systems'!$C$37:$J$37)</f>
        <v>8</v>
      </c>
      <c r="D29" s="17" t="e">
        <f>COUNTIF('ICT Inventory'!#REF!,"No Issue Reported")+COUNTIF('ICT Inventory'!#REF!,"Partially Working")*0.7+COUNTIF('ICT Inventory'!#REF!,"Total Failure")*0.3</f>
        <v>#REF!</v>
      </c>
      <c r="E29" s="13" t="e">
        <f>D29/C29</f>
        <v>#REF!</v>
      </c>
      <c r="F29" s="2"/>
      <c r="G29" s="2"/>
      <c r="H29" s="2"/>
      <c r="I29" s="2"/>
    </row>
    <row r="30" spans="1:9" x14ac:dyDescent="0.25">
      <c r="A30" s="2"/>
      <c r="B30" s="1" t="s">
        <v>29</v>
      </c>
      <c r="C30" s="1"/>
      <c r="D30" s="1"/>
      <c r="E30" s="4" t="e">
        <f>AVERAGE(E26:E29)</f>
        <v>#REF!</v>
      </c>
      <c r="F30" s="2"/>
      <c r="G30" s="2"/>
      <c r="H30" s="2"/>
      <c r="I30" s="2"/>
    </row>
    <row r="31" spans="1:9" x14ac:dyDescent="0.25">
      <c r="A31" s="7"/>
      <c r="B31" s="7"/>
      <c r="C31" s="7"/>
      <c r="E31" s="14"/>
    </row>
    <row r="32" spans="1:9" ht="13.8" x14ac:dyDescent="0.25">
      <c r="B32" s="10" t="s">
        <v>41</v>
      </c>
    </row>
    <row r="33" spans="1:9" ht="26.4" x14ac:dyDescent="0.25">
      <c r="A33" s="5" t="s">
        <v>34</v>
      </c>
      <c r="B33" s="5" t="s">
        <v>33</v>
      </c>
      <c r="C33" s="6" t="s">
        <v>28</v>
      </c>
      <c r="D33" s="6" t="s">
        <v>45</v>
      </c>
      <c r="E33" s="6" t="s">
        <v>32</v>
      </c>
      <c r="F33" s="6" t="s">
        <v>31</v>
      </c>
      <c r="G33" s="5" t="s">
        <v>30</v>
      </c>
      <c r="H33" s="5"/>
      <c r="I33" s="5"/>
    </row>
    <row r="34" spans="1:9" x14ac:dyDescent="0.25">
      <c r="A34" s="3">
        <v>1</v>
      </c>
      <c r="B34" s="3" t="s">
        <v>26</v>
      </c>
      <c r="C34" s="3">
        <f>COUNTA('Infrastructure and Systems'!$C$37:$J$37)</f>
        <v>8</v>
      </c>
      <c r="D34" s="2" t="e">
        <f>COUNTIF(BCP!#REF!,"Offsite &amp; Schedule backups in place")</f>
        <v>#REF!</v>
      </c>
      <c r="E34" s="13" t="e">
        <f>D34/C34</f>
        <v>#REF!</v>
      </c>
      <c r="F34" s="2" t="e">
        <f>IF(E34=100%,"None")</f>
        <v>#REF!</v>
      </c>
      <c r="G34" s="2"/>
      <c r="H34" s="2"/>
      <c r="I34" s="2"/>
    </row>
    <row r="35" spans="1:9" x14ac:dyDescent="0.25">
      <c r="A35" s="2"/>
      <c r="B35" s="1" t="s">
        <v>29</v>
      </c>
      <c r="C35" s="1"/>
      <c r="D35" s="1"/>
      <c r="E35" s="4" t="e">
        <f>AVERAGE(E34)</f>
        <v>#REF!</v>
      </c>
      <c r="F35" s="2"/>
      <c r="G35" s="2"/>
      <c r="H35" s="2"/>
      <c r="I35" s="2"/>
    </row>
    <row r="38" spans="1:9" ht="13.8" x14ac:dyDescent="0.25">
      <c r="B38" s="10" t="s">
        <v>48</v>
      </c>
    </row>
    <row r="39" spans="1:9" ht="26.4" x14ac:dyDescent="0.25">
      <c r="A39" s="5" t="s">
        <v>34</v>
      </c>
      <c r="B39" s="5" t="s">
        <v>33</v>
      </c>
      <c r="C39" s="6" t="s">
        <v>28</v>
      </c>
      <c r="D39" s="6" t="s">
        <v>67</v>
      </c>
      <c r="E39" s="6" t="s">
        <v>50</v>
      </c>
      <c r="F39" s="6" t="s">
        <v>31</v>
      </c>
      <c r="G39" s="5" t="s">
        <v>30</v>
      </c>
      <c r="H39" s="5"/>
      <c r="I39" s="5"/>
    </row>
    <row r="40" spans="1:9" x14ac:dyDescent="0.25">
      <c r="A40" s="3">
        <v>1</v>
      </c>
      <c r="B40" s="3" t="s">
        <v>49</v>
      </c>
      <c r="C40" s="3">
        <f>COUNTA('ICT Cost'!#REF!)</f>
        <v>1</v>
      </c>
      <c r="D40" s="38">
        <f>'ICT Cost'!J30</f>
        <v>0</v>
      </c>
      <c r="E40" s="15"/>
      <c r="F40" s="12"/>
      <c r="G40" s="12"/>
      <c r="H40" s="2"/>
      <c r="I40" s="2"/>
    </row>
    <row r="41" spans="1:9" x14ac:dyDescent="0.25">
      <c r="A41" s="2"/>
      <c r="B41" s="1" t="s">
        <v>29</v>
      </c>
      <c r="C41" s="1"/>
      <c r="D41" s="1"/>
      <c r="E41" s="4"/>
      <c r="F41" s="2"/>
      <c r="G41" s="2"/>
      <c r="H41" s="2"/>
      <c r="I41" s="2"/>
    </row>
    <row r="44" spans="1:9" ht="13.8" x14ac:dyDescent="0.3">
      <c r="B44" s="19"/>
    </row>
  </sheetData>
  <phoneticPr fontId="3" type="noConversion"/>
  <pageMargins left="0.75" right="0.75" top="1" bottom="1" header="0.5" footer="0.5"/>
  <pageSetup paperSize="9" orientation="portrait" horizontalDpi="300" verticalDpi="4294967295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I41"/>
  <sheetViews>
    <sheetView topLeftCell="A7" workbookViewId="0">
      <selection activeCell="D4" sqref="D4"/>
    </sheetView>
  </sheetViews>
  <sheetFormatPr defaultRowHeight="13.2" x14ac:dyDescent="0.25"/>
  <cols>
    <col min="1" max="1" width="4" bestFit="1" customWidth="1"/>
    <col min="2" max="2" width="62.33203125" customWidth="1"/>
    <col min="3" max="3" width="9.5546875" bestFit="1" customWidth="1"/>
    <col min="4" max="4" width="11.33203125" bestFit="1" customWidth="1"/>
    <col min="5" max="5" width="10.109375" customWidth="1"/>
    <col min="6" max="6" width="17" customWidth="1"/>
    <col min="7" max="7" width="12.88671875" bestFit="1" customWidth="1"/>
  </cols>
  <sheetData>
    <row r="1" spans="1:9" x14ac:dyDescent="0.25">
      <c r="B1" s="8" t="s">
        <v>46</v>
      </c>
    </row>
    <row r="2" spans="1:9" ht="13.8" x14ac:dyDescent="0.25">
      <c r="B2" s="10" t="s">
        <v>39</v>
      </c>
    </row>
    <row r="3" spans="1:9" ht="26.4" x14ac:dyDescent="0.25">
      <c r="A3" s="5" t="str">
        <f>'Infrastructure and Systems'!A3</f>
        <v>No.</v>
      </c>
      <c r="B3" s="5" t="s">
        <v>33</v>
      </c>
      <c r="C3" s="6" t="s">
        <v>28</v>
      </c>
      <c r="D3" s="6" t="s">
        <v>46</v>
      </c>
      <c r="E3" s="6" t="s">
        <v>32</v>
      </c>
      <c r="F3" s="6" t="s">
        <v>35</v>
      </c>
      <c r="G3" s="6" t="s">
        <v>36</v>
      </c>
      <c r="H3" s="6" t="s">
        <v>37</v>
      </c>
      <c r="I3" s="6" t="s">
        <v>38</v>
      </c>
    </row>
    <row r="4" spans="1:9" x14ac:dyDescent="0.25">
      <c r="A4" s="3">
        <f>'Infrastructure and Systems'!A4</f>
        <v>1</v>
      </c>
      <c r="B4" s="3" t="str">
        <f>'Infrastructure and Systems'!B4</f>
        <v>Local Area Network (LAN)</v>
      </c>
      <c r="C4" s="3">
        <f>COUNTA('Infrastructure and Systems'!$C$54:$J$54)</f>
        <v>8</v>
      </c>
      <c r="D4" s="17">
        <f>COUNTIF('Infrastructure and Systems'!C55:J55,"No Issue Reported")+COUNTIF('Infrastructure and Systems'!C55:J55,"Partially Working")*0.7+COUNTIF('Infrastructure and Systems'!C55:J55,"Total Failure")*0.3</f>
        <v>0</v>
      </c>
      <c r="E4" s="13">
        <f>D4/C4</f>
        <v>0</v>
      </c>
      <c r="F4" s="2"/>
      <c r="G4" s="6"/>
      <c r="H4" s="6"/>
      <c r="I4" s="6"/>
    </row>
    <row r="5" spans="1:9" x14ac:dyDescent="0.25">
      <c r="A5" s="3">
        <f>'Infrastructure and Systems'!A5</f>
        <v>2</v>
      </c>
      <c r="B5" s="3" t="str">
        <f>'Infrastructure and Systems'!B5</f>
        <v>Wide Area Network (WAN)</v>
      </c>
      <c r="C5" s="3">
        <f>COUNTA('Infrastructure and Systems'!$C$54:$J$54)</f>
        <v>8</v>
      </c>
      <c r="D5" s="17">
        <f>COUNTIF('Infrastructure and Systems'!C56:J56,"No Issue Reported")+COUNTIF('Infrastructure and Systems'!C56:J56,"Partially Working")*0.7+COUNTIF('Infrastructure and Systems'!C56:J56,"Total Failure")*0.3</f>
        <v>0</v>
      </c>
      <c r="E5" s="13">
        <f>D5/C5</f>
        <v>0</v>
      </c>
      <c r="F5" s="2"/>
      <c r="G5" s="2"/>
      <c r="H5" s="2"/>
      <c r="I5" s="2"/>
    </row>
    <row r="6" spans="1:9" x14ac:dyDescent="0.25">
      <c r="A6" s="3">
        <f>'Infrastructure and Systems'!A7</f>
        <v>4</v>
      </c>
      <c r="B6" s="3" t="str">
        <f>'Infrastructure and Systems'!B7</f>
        <v>Firewall</v>
      </c>
      <c r="C6" s="3">
        <f>COUNTA('Infrastructure and Systems'!$C$54:$J$54)</f>
        <v>8</v>
      </c>
      <c r="D6" s="17">
        <f>COUNTIF('Infrastructure and Systems'!C57:J57,"No Issue Reported")+COUNTIF('Infrastructure and Systems'!C57:J57,"Partially Working")*0.7+COUNTIF('Infrastructure and Systems'!C57:J57,"Total Failure")*0.3</f>
        <v>0</v>
      </c>
      <c r="E6" s="13">
        <f>IF('Infrastructure and Systems'!C7="Internet slow even sometimes not available",(D6/C6)/2,(D6/C6))</f>
        <v>0</v>
      </c>
      <c r="F6" s="2"/>
      <c r="G6" s="12"/>
      <c r="H6" s="2"/>
      <c r="I6" s="2"/>
    </row>
    <row r="7" spans="1:9" x14ac:dyDescent="0.25">
      <c r="A7" s="3">
        <f>'Infrastructure and Systems'!A8</f>
        <v>5</v>
      </c>
      <c r="B7" s="3" t="str">
        <f>'Infrastructure and Systems'!B8</f>
        <v>E-Mail Server</v>
      </c>
      <c r="C7" s="3">
        <f>COUNTA('Infrastructure and Systems'!$C$54:$J$54)</f>
        <v>8</v>
      </c>
      <c r="D7">
        <f>COUNTIF('Infrastructure and Systems'!C58:J58,"Domino in use")*1+COUNTIF('Infrastructure and Systems'!C58:J58,"Exchange in Use")*0.8+COUNTIF('Infrastructure and Systems'!C58:J58,"Domino In Use-Issues")*0.6+COUNTIF('Infrastructure and Systems'!C58:J58,"Exchange In Use-Issues")*0.4+COUNTIF('Infrastructure and Systems'!C58:J58,"None")*0.2</f>
        <v>0</v>
      </c>
      <c r="E7" s="13" t="e">
        <f>(D27/C7)</f>
        <v>#REF!</v>
      </c>
      <c r="F7" s="12"/>
      <c r="G7" s="12"/>
      <c r="H7" s="2"/>
      <c r="I7" s="2"/>
    </row>
    <row r="8" spans="1:9" x14ac:dyDescent="0.25">
      <c r="A8" s="3">
        <f>'Infrastructure and Systems'!A9</f>
        <v>6</v>
      </c>
      <c r="B8" s="3" t="str">
        <f>'Infrastructure and Systems'!B9</f>
        <v>Business Servers (EWS, Chaipro)</v>
      </c>
      <c r="C8" s="3">
        <f>COUNTA('Infrastructure and Systems'!$C$54:$J$54)</f>
        <v>8</v>
      </c>
      <c r="D8" s="17">
        <f>COUNTIF('Infrastructure and Systems'!C59:J59,"No Issue Reported")+COUNTIF('Infrastructure and Systems'!C59:J59,"Partially Working")*0.7+COUNTIF('Infrastructure and Systems'!C59:J59,"Total Failure")*0.3</f>
        <v>0</v>
      </c>
      <c r="E8" s="13">
        <f>D8/C8</f>
        <v>0</v>
      </c>
      <c r="F8" s="2"/>
      <c r="G8" s="2"/>
      <c r="H8" s="2"/>
      <c r="I8" s="2"/>
    </row>
    <row r="9" spans="1:9" x14ac:dyDescent="0.25">
      <c r="A9" s="3">
        <f>'Infrastructure and Systems'!A10</f>
        <v>7</v>
      </c>
      <c r="B9" s="3" t="str">
        <f>'Infrastructure and Systems'!B10</f>
        <v>Electronic Weighment Solution (EWS Version)</v>
      </c>
      <c r="C9" s="3">
        <f>COUNTA('Infrastructure and Systems'!$C$54:$J$54)</f>
        <v>8</v>
      </c>
      <c r="D9" s="17">
        <f>COUNTIF('Infrastructure and Systems'!C60:J60,"No Issue Reported")+COUNTIF('Infrastructure and Systems'!C60:J60,"Partially Working")*0.7+COUNTIF('Infrastructure and Systems'!C60:J60,"Total Failure")*0.3</f>
        <v>0</v>
      </c>
      <c r="E9" s="13">
        <f>D9/C9</f>
        <v>0</v>
      </c>
      <c r="F9" s="2"/>
      <c r="G9" s="12"/>
      <c r="H9" s="2"/>
      <c r="I9" s="2"/>
    </row>
    <row r="10" spans="1:9" x14ac:dyDescent="0.25">
      <c r="A10" s="3" t="e">
        <f>'Infrastructure and Systems'!#REF!</f>
        <v>#REF!</v>
      </c>
      <c r="B10" s="3" t="e">
        <f>'Infrastructure and Systems'!#REF!</f>
        <v>#REF!</v>
      </c>
      <c r="C10" s="3">
        <f>COUNTA('Infrastructure and Systems'!$C$54:$J$54)</f>
        <v>8</v>
      </c>
      <c r="D10" s="17">
        <f>COUNTIF('Infrastructure and Systems'!C61:J61,"No Issue Reported")+COUNTIF('Infrastructure and Systems'!C61:J61,"Partially Working")*0.7+COUNTIF('Infrastructure and Systems'!C61:J61,"Total Failure")*0.3</f>
        <v>0</v>
      </c>
      <c r="E10" s="13">
        <f>D10/C10</f>
        <v>0</v>
      </c>
      <c r="F10" s="2"/>
      <c r="G10" s="2"/>
      <c r="H10" s="2"/>
      <c r="I10" s="2"/>
    </row>
    <row r="11" spans="1:9" x14ac:dyDescent="0.25">
      <c r="A11" s="2"/>
      <c r="B11" s="1" t="s">
        <v>29</v>
      </c>
      <c r="C11" s="1"/>
      <c r="D11" s="1"/>
      <c r="E11" s="4" t="e">
        <f>AVERAGE(E4:E10)</f>
        <v>#REF!</v>
      </c>
      <c r="F11" s="2"/>
      <c r="G11" s="2"/>
      <c r="H11" s="2"/>
      <c r="I11" s="2"/>
    </row>
    <row r="12" spans="1:9" x14ac:dyDescent="0.25">
      <c r="B12" s="8"/>
      <c r="C12" s="8"/>
      <c r="D12" s="8"/>
      <c r="E12" s="9"/>
    </row>
    <row r="13" spans="1:9" ht="13.8" x14ac:dyDescent="0.25">
      <c r="B13" s="10" t="s">
        <v>40</v>
      </c>
    </row>
    <row r="14" spans="1:9" ht="26.4" x14ac:dyDescent="0.25">
      <c r="A14" s="5" t="s">
        <v>34</v>
      </c>
      <c r="B14" s="5" t="s">
        <v>33</v>
      </c>
      <c r="C14" s="6" t="s">
        <v>28</v>
      </c>
      <c r="D14" s="6" t="s">
        <v>46</v>
      </c>
      <c r="E14" s="6" t="s">
        <v>32</v>
      </c>
      <c r="F14" s="6" t="s">
        <v>31</v>
      </c>
      <c r="G14" s="5" t="s">
        <v>30</v>
      </c>
      <c r="H14" s="5"/>
      <c r="I14" s="5"/>
    </row>
    <row r="15" spans="1:9" ht="12.75" customHeight="1" x14ac:dyDescent="0.25">
      <c r="A15" s="3">
        <v>1</v>
      </c>
      <c r="B15" s="3" t="s">
        <v>15</v>
      </c>
      <c r="C15" s="3">
        <f>COUNTA('Infrastructure and Systems'!$C$54:$J$54)</f>
        <v>8</v>
      </c>
      <c r="D15" s="17" t="e">
        <f>COUNTIF('Chaipro-SAP'!#REF!,"2.5.5.9")*1+COUNTIF('Chaipro-SAP'!#REF!,"SAP")*1+COUNTIF('Chaipro-SAP'!D28:J28,"Other version Working")*0.8+COUNTIF('Chaipro-SAP'!#REF!,"2.5.5.7 With Issues")*0.6+COUNTIF('Chaipro-SAP'!#REF!,"Other version With Issues")*0.4 + COUNTIF('Chaipro-SAP'!#REF!,"None")*0.25</f>
        <v>#REF!</v>
      </c>
      <c r="E15" s="13" t="e">
        <f t="shared" ref="E15:E21" si="0">D15/C15</f>
        <v>#REF!</v>
      </c>
      <c r="F15" s="2"/>
      <c r="G15" s="2"/>
      <c r="H15" s="2"/>
      <c r="I15" s="2"/>
    </row>
    <row r="16" spans="1:9" ht="13.5" customHeight="1" x14ac:dyDescent="0.25">
      <c r="A16" s="3">
        <v>2</v>
      </c>
      <c r="B16" s="3" t="s">
        <v>16</v>
      </c>
      <c r="C16" s="3">
        <f>COUNTA('Infrastructure and Systems'!$C$54:$J$54)</f>
        <v>8</v>
      </c>
      <c r="D16" s="17" t="e">
        <f>COUNTIF('Chaipro-SAP'!#REF!,"2.5.2.7")*1+COUNTIF('Chaipro-SAP'!#REF!,"SAP")*1+COUNTIF('Chaipro-SAP'!#REF!,"Other version Working")*0.8+COUNTIF('Chaipro-SAP'!#REF!,"2.5.2.5 With Issues")*0.6+COUNTIF('Chaipro-SAP'!#REF!,"Other version With Issues")*0.4 + COUNTIF('Chaipro-SAP'!#REF!,"None")*0.25</f>
        <v>#REF!</v>
      </c>
      <c r="E16" s="13" t="e">
        <f t="shared" si="0"/>
        <v>#REF!</v>
      </c>
      <c r="F16" s="2"/>
      <c r="G16" s="2"/>
      <c r="H16" s="2"/>
      <c r="I16" s="2"/>
    </row>
    <row r="17" spans="1:9" x14ac:dyDescent="0.25">
      <c r="A17" s="3">
        <v>3</v>
      </c>
      <c r="B17" s="3" t="s">
        <v>17</v>
      </c>
      <c r="C17" s="3">
        <f>COUNTA('Infrastructure and Systems'!$C$54:$J$54)</f>
        <v>8</v>
      </c>
      <c r="D17" s="17" t="e">
        <f>COUNTIF('Chaipro-SAP'!#REF!,"2.8.0.0")*1+COUNTIF('Chaipro-SAP'!#REF!,"Other version Working")*0.8+COUNTIF('Chaipro-SAP'!#REF!,"2.8.0.0 With Issues")*0.6+COUNTIF('Chaipro-SAP'!#REF!,"Other version With Issues")*0.4 + COUNTIF('Chaipro-SAP'!#REF!,"None")*0.25</f>
        <v>#REF!</v>
      </c>
      <c r="E17" s="13" t="e">
        <f t="shared" si="0"/>
        <v>#REF!</v>
      </c>
      <c r="F17" s="12"/>
      <c r="G17" s="12"/>
      <c r="H17" s="2"/>
      <c r="I17" s="2"/>
    </row>
    <row r="18" spans="1:9" x14ac:dyDescent="0.25">
      <c r="A18" s="3">
        <v>4</v>
      </c>
      <c r="B18" s="3" t="s">
        <v>18</v>
      </c>
      <c r="C18" s="3">
        <f>COUNTA('Infrastructure and Systems'!$C$54:$J$54)</f>
        <v>8</v>
      </c>
      <c r="D18" s="17" t="e">
        <f>COUNTIF('Chaipro-SAP'!#REF!,"3.2.5.1")*1+COUNTIF('Chaipro-SAP'!#REF!,"Other version Working")*0.8+COUNTIF('Chaipro-SAP'!#REF!,"3.2.5.1 With Issues")*0.6+COUNTIF('Chaipro-SAP'!#REF!,"Other version With Issues")*0.4 + COUNTIF('Chaipro-SAP'!#REF!,"None")*0.25</f>
        <v>#REF!</v>
      </c>
      <c r="E18" s="13" t="e">
        <f t="shared" si="0"/>
        <v>#REF!</v>
      </c>
      <c r="F18" s="2"/>
      <c r="G18" s="2"/>
      <c r="H18" s="2"/>
      <c r="I18" s="2"/>
    </row>
    <row r="19" spans="1:9" x14ac:dyDescent="0.25">
      <c r="A19" s="3">
        <v>6</v>
      </c>
      <c r="B19" s="3" t="s">
        <v>19</v>
      </c>
      <c r="C19" s="3">
        <f>COUNTA('Infrastructure and Systems'!$C$54:$J$54)</f>
        <v>8</v>
      </c>
      <c r="D19" s="17" t="e">
        <f>COUNTIF('Chaipro-SAP'!#REF!,"Working")*1+COUNTIF('Chaipro-SAP'!#REF!,"Working With Issues")*0.5</f>
        <v>#REF!</v>
      </c>
      <c r="E19" s="13" t="e">
        <f t="shared" si="0"/>
        <v>#REF!</v>
      </c>
      <c r="F19" s="2"/>
      <c r="G19" s="2"/>
      <c r="H19" s="2"/>
      <c r="I19" s="2"/>
    </row>
    <row r="20" spans="1:9" x14ac:dyDescent="0.25">
      <c r="A20" s="3">
        <v>7</v>
      </c>
      <c r="B20" s="3" t="s">
        <v>20</v>
      </c>
      <c r="C20" s="3">
        <f>COUNTA('Infrastructure and Systems'!$C$54:$J$54)</f>
        <v>8</v>
      </c>
      <c r="D20" s="17" t="e">
        <f>COUNTIF('Chaipro-SAP'!#REF!,"1.0.0.3")*1+COUNTIF('Chaipro-SAP'!#REF!,"Other version Working")*0.8+COUNTIF('Chaipro-SAP'!#REF!,"1.0.0.3 With Issues")*0.6+COUNTIF('Chaipro-SAP'!#REF!,"Other version With Issues")*0.4 + COUNTIF('Chaipro-SAP'!B8:L8,"None")*0.25</f>
        <v>#REF!</v>
      </c>
      <c r="E20" s="13" t="e">
        <f t="shared" si="0"/>
        <v>#REF!</v>
      </c>
      <c r="F20" s="2"/>
      <c r="G20" s="2"/>
      <c r="H20" s="2"/>
      <c r="I20" s="2"/>
    </row>
    <row r="21" spans="1:9" x14ac:dyDescent="0.25">
      <c r="A21" s="3">
        <v>8</v>
      </c>
      <c r="B21" s="3" t="s">
        <v>21</v>
      </c>
      <c r="C21" s="3">
        <f>COUNTA('Infrastructure and Systems'!$C$54:$J$54)</f>
        <v>8</v>
      </c>
      <c r="D21" s="17" t="e">
        <f>COUNTIF('Chaipro-SAP'!#REF!,"2.2")*1+COUNTIF('Chaipro-SAP'!#REF!,"Other version Working")*0.8+COUNTIF('Chaipro-SAP'!#REF!,"2.2 With Issues")*0.6+COUNTIF('Chaipro-SAP'!#REF!,"Other version With Issues")*0.4 + COUNTIF('Chaipro-SAP'!#REF!,"None")*0.25</f>
        <v>#REF!</v>
      </c>
      <c r="E21" s="13" t="e">
        <f t="shared" si="0"/>
        <v>#REF!</v>
      </c>
      <c r="F21" s="2"/>
      <c r="G21" s="12"/>
      <c r="H21" s="2"/>
      <c r="I21" s="2"/>
    </row>
    <row r="22" spans="1:9" x14ac:dyDescent="0.25">
      <c r="A22" s="2"/>
      <c r="B22" s="1" t="s">
        <v>29</v>
      </c>
      <c r="C22" s="1"/>
      <c r="D22" s="1"/>
      <c r="E22" s="4" t="e">
        <f>AVERAGE(E15:E21)</f>
        <v>#REF!</v>
      </c>
      <c r="F22" s="2"/>
      <c r="G22" s="2"/>
      <c r="H22" s="2"/>
      <c r="I22" s="2"/>
    </row>
    <row r="23" spans="1:9" x14ac:dyDescent="0.25">
      <c r="B23" s="8"/>
      <c r="C23" s="8"/>
      <c r="D23" s="8"/>
      <c r="E23" s="9"/>
    </row>
    <row r="24" spans="1:9" ht="13.8" x14ac:dyDescent="0.25">
      <c r="B24" s="10" t="s">
        <v>42</v>
      </c>
    </row>
    <row r="25" spans="1:9" ht="26.4" x14ac:dyDescent="0.25">
      <c r="A25" s="5" t="s">
        <v>34</v>
      </c>
      <c r="B25" s="5" t="s">
        <v>33</v>
      </c>
      <c r="C25" s="6" t="s">
        <v>28</v>
      </c>
      <c r="D25" s="6" t="s">
        <v>46</v>
      </c>
      <c r="E25" s="6" t="s">
        <v>32</v>
      </c>
      <c r="F25" s="6" t="s">
        <v>31</v>
      </c>
      <c r="G25" s="5" t="s">
        <v>30</v>
      </c>
      <c r="H25" s="5"/>
      <c r="I25" s="5"/>
    </row>
    <row r="26" spans="1:9" ht="15.6" x14ac:dyDescent="0.3">
      <c r="A26" s="3">
        <v>1</v>
      </c>
      <c r="B26" s="3" t="s">
        <v>22</v>
      </c>
      <c r="C26" s="3">
        <f>COUNTA('Infrastructure and Systems'!$C$54:$J$54)</f>
        <v>8</v>
      </c>
      <c r="D26" s="17" t="e">
        <f>COUNTIF('ICT Inventory'!#REF!,"No Issue Reported")+COUNTIF('ICT Inventory'!#REF!,"Partially Working")*0.7+COUNTIF('ICT Inventory'!#REF!,"Total Failure")*0.3</f>
        <v>#REF!</v>
      </c>
      <c r="E26" s="13" t="e">
        <f>D26/C26</f>
        <v>#REF!</v>
      </c>
      <c r="F26" s="2"/>
      <c r="G26" s="2"/>
      <c r="H26" s="2"/>
      <c r="I26" s="2"/>
    </row>
    <row r="27" spans="1:9" ht="13.8" x14ac:dyDescent="0.3">
      <c r="A27" s="3">
        <v>2</v>
      </c>
      <c r="B27" s="3" t="s">
        <v>23</v>
      </c>
      <c r="C27" s="3">
        <f>COUNTA('Infrastructure and Systems'!$C$54:$J$54)</f>
        <v>8</v>
      </c>
      <c r="D27" s="17" t="e">
        <f>COUNTIF('ICT Inventory'!#REF!,"No Issue Reported")+COUNTIF('ICT Inventory'!#REF!,"Partially Working")*0.7+COUNTIF('ICT Inventory'!#REF!,"Total Failure")*0.3</f>
        <v>#REF!</v>
      </c>
      <c r="E27" s="13" t="e">
        <f>D27/C27</f>
        <v>#REF!</v>
      </c>
      <c r="F27" s="2"/>
      <c r="G27" s="2"/>
      <c r="H27" s="2"/>
      <c r="I27" s="2"/>
    </row>
    <row r="28" spans="1:9" ht="27.6" x14ac:dyDescent="0.3">
      <c r="A28" s="3">
        <v>3</v>
      </c>
      <c r="B28" s="11" t="s">
        <v>24</v>
      </c>
      <c r="C28" s="3">
        <f>COUNTA('Infrastructure and Systems'!$C$54:$J$54)</f>
        <v>8</v>
      </c>
      <c r="D28" s="17" t="e">
        <f>COUNTIF('ICT Inventory'!#REF!,"No Issue Reported")+COUNTIF('ICT Inventory'!#REF!,"Partially Working")*0.7+COUNTIF('ICT Inventory'!#REF!,"Total Failure")*0.3</f>
        <v>#REF!</v>
      </c>
      <c r="E28" s="13" t="e">
        <f>D28/C28</f>
        <v>#REF!</v>
      </c>
      <c r="F28" s="2"/>
      <c r="G28" s="2"/>
      <c r="H28" s="2"/>
      <c r="I28" s="2"/>
    </row>
    <row r="29" spans="1:9" ht="14.4" x14ac:dyDescent="0.3">
      <c r="A29" s="3">
        <v>4</v>
      </c>
      <c r="B29" s="3" t="s">
        <v>25</v>
      </c>
      <c r="C29" s="3">
        <f>COUNTA('Infrastructure and Systems'!$C$54:$J$54)</f>
        <v>8</v>
      </c>
      <c r="D29" s="17" t="e">
        <f>COUNTIF('ICT Inventory'!#REF!,"No Issue Reported")+COUNTIF('ICT Inventory'!#REF!,"Partially Working")*0.7+COUNTIF('ICT Inventory'!#REF!,"Total Failure")*0.3</f>
        <v>#REF!</v>
      </c>
      <c r="E29" s="13" t="e">
        <f>D29/C29</f>
        <v>#REF!</v>
      </c>
      <c r="F29" s="2"/>
      <c r="G29" s="2"/>
      <c r="H29" s="2"/>
      <c r="I29" s="2"/>
    </row>
    <row r="30" spans="1:9" x14ac:dyDescent="0.25">
      <c r="A30" s="2"/>
      <c r="B30" s="1" t="s">
        <v>29</v>
      </c>
      <c r="C30" s="1"/>
      <c r="D30" s="1"/>
      <c r="E30" s="4" t="e">
        <f>AVERAGE(E26:E29)</f>
        <v>#REF!</v>
      </c>
      <c r="F30" s="2"/>
      <c r="G30" s="2"/>
      <c r="H30" s="2"/>
      <c r="I30" s="2"/>
    </row>
    <row r="31" spans="1:9" x14ac:dyDescent="0.25">
      <c r="A31" s="7"/>
      <c r="B31" s="7"/>
      <c r="C31" s="7"/>
      <c r="E31" s="14"/>
    </row>
    <row r="32" spans="1:9" ht="13.8" x14ac:dyDescent="0.25">
      <c r="B32" s="10" t="s">
        <v>41</v>
      </c>
    </row>
    <row r="33" spans="1:9" ht="26.4" x14ac:dyDescent="0.25">
      <c r="A33" s="5" t="s">
        <v>34</v>
      </c>
      <c r="B33" s="5" t="s">
        <v>33</v>
      </c>
      <c r="C33" s="6" t="s">
        <v>28</v>
      </c>
      <c r="D33" s="6" t="s">
        <v>46</v>
      </c>
      <c r="E33" s="6" t="s">
        <v>32</v>
      </c>
      <c r="F33" s="6" t="s">
        <v>31</v>
      </c>
      <c r="G33" s="5" t="s">
        <v>30</v>
      </c>
      <c r="H33" s="5"/>
      <c r="I33" s="5"/>
    </row>
    <row r="34" spans="1:9" x14ac:dyDescent="0.25">
      <c r="A34" s="3">
        <v>1</v>
      </c>
      <c r="B34" s="3" t="s">
        <v>26</v>
      </c>
      <c r="C34" s="3">
        <f>COUNTA('Infrastructure and Systems'!$C$54:$J$54)</f>
        <v>8</v>
      </c>
      <c r="D34" s="2" t="e">
        <f>COUNTIF(BCP!#REF!,"Offsite &amp; Schedule backups in place")</f>
        <v>#REF!</v>
      </c>
      <c r="E34" s="13" t="e">
        <f>D34/C34</f>
        <v>#REF!</v>
      </c>
      <c r="F34" s="2"/>
      <c r="G34" s="2"/>
      <c r="H34" s="2"/>
      <c r="I34" s="2"/>
    </row>
    <row r="35" spans="1:9" x14ac:dyDescent="0.25">
      <c r="A35" s="2"/>
      <c r="B35" s="1" t="s">
        <v>29</v>
      </c>
      <c r="C35" s="1"/>
      <c r="D35" s="1"/>
      <c r="E35" s="4" t="e">
        <f>AVERAGE(E34)</f>
        <v>#REF!</v>
      </c>
      <c r="F35" s="2"/>
      <c r="G35" s="2"/>
      <c r="H35" s="2"/>
      <c r="I35" s="2"/>
    </row>
    <row r="38" spans="1:9" ht="13.8" x14ac:dyDescent="0.25">
      <c r="B38" s="10" t="s">
        <v>48</v>
      </c>
    </row>
    <row r="39" spans="1:9" ht="26.4" x14ac:dyDescent="0.25">
      <c r="A39" s="5" t="s">
        <v>34</v>
      </c>
      <c r="B39" s="5" t="s">
        <v>33</v>
      </c>
      <c r="C39" s="6" t="s">
        <v>28</v>
      </c>
      <c r="D39" s="6" t="s">
        <v>67</v>
      </c>
      <c r="E39" s="6" t="s">
        <v>50</v>
      </c>
      <c r="F39" s="6" t="s">
        <v>31</v>
      </c>
      <c r="G39" s="5" t="s">
        <v>30</v>
      </c>
      <c r="H39" s="5"/>
      <c r="I39" s="5"/>
    </row>
    <row r="40" spans="1:9" ht="16.5" customHeight="1" x14ac:dyDescent="0.25">
      <c r="A40" s="3">
        <v>1</v>
      </c>
      <c r="B40" s="3" t="s">
        <v>49</v>
      </c>
      <c r="C40" s="3">
        <f>COUNTA('ICT Cost'!#REF!)</f>
        <v>1</v>
      </c>
      <c r="D40" s="38">
        <f>'ICT Cost'!J40</f>
        <v>1250643.97</v>
      </c>
      <c r="E40" s="15"/>
      <c r="F40" s="12"/>
      <c r="G40" s="2"/>
      <c r="H40" s="2"/>
      <c r="I40" s="2"/>
    </row>
    <row r="41" spans="1:9" x14ac:dyDescent="0.25">
      <c r="A41" s="2"/>
      <c r="B41" s="1" t="s">
        <v>29</v>
      </c>
      <c r="C41" s="1"/>
      <c r="D41" s="1"/>
      <c r="E41" s="4"/>
      <c r="F41" s="2"/>
      <c r="G41" s="2"/>
      <c r="H41" s="2"/>
      <c r="I41" s="2"/>
    </row>
  </sheetData>
  <phoneticPr fontId="3" type="noConversion"/>
  <pageMargins left="0.75" right="0.75" top="1" bottom="1" header="0.5" footer="0.5"/>
  <pageSetup paperSize="9" orientation="portrait" horizontalDpi="300" verticalDpi="4294967295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K41"/>
  <sheetViews>
    <sheetView workbookViewId="0">
      <selection activeCell="D4" sqref="D4"/>
    </sheetView>
  </sheetViews>
  <sheetFormatPr defaultRowHeight="13.2" x14ac:dyDescent="0.25"/>
  <cols>
    <col min="1" max="1" width="4" bestFit="1" customWidth="1"/>
    <col min="2" max="2" width="62.33203125" customWidth="1"/>
    <col min="3" max="3" width="9.5546875" bestFit="1" customWidth="1"/>
    <col min="4" max="4" width="11.33203125" bestFit="1" customWidth="1"/>
    <col min="5" max="5" width="10.109375" customWidth="1"/>
    <col min="6" max="6" width="17" customWidth="1"/>
    <col min="7" max="7" width="12.88671875" bestFit="1" customWidth="1"/>
  </cols>
  <sheetData>
    <row r="1" spans="1:11" x14ac:dyDescent="0.25">
      <c r="B1" s="8" t="s">
        <v>99</v>
      </c>
    </row>
    <row r="2" spans="1:11" ht="13.8" x14ac:dyDescent="0.25">
      <c r="B2" s="10" t="s">
        <v>39</v>
      </c>
    </row>
    <row r="3" spans="1:11" ht="26.4" x14ac:dyDescent="0.25">
      <c r="A3" s="5" t="str">
        <f>'Infrastructure and Systems'!A3</f>
        <v>No.</v>
      </c>
      <c r="B3" s="5" t="s">
        <v>33</v>
      </c>
      <c r="C3" s="6" t="s">
        <v>28</v>
      </c>
      <c r="D3" s="6" t="s">
        <v>47</v>
      </c>
      <c r="E3" s="6" t="s">
        <v>32</v>
      </c>
      <c r="F3" s="6" t="s">
        <v>35</v>
      </c>
      <c r="G3" s="6" t="s">
        <v>36</v>
      </c>
      <c r="H3" s="6" t="s">
        <v>37</v>
      </c>
      <c r="I3" s="6" t="s">
        <v>38</v>
      </c>
    </row>
    <row r="4" spans="1:11" x14ac:dyDescent="0.25">
      <c r="A4" s="3">
        <f>'Infrastructure and Systems'!A4</f>
        <v>1</v>
      </c>
      <c r="B4" s="3" t="str">
        <f>'Infrastructure and Systems'!B4</f>
        <v>Local Area Network (LAN)</v>
      </c>
      <c r="C4" s="3">
        <f>COUNTA('Infrastructure and Systems'!$C$71:$P$71)</f>
        <v>14</v>
      </c>
      <c r="D4" s="17">
        <f>COUNTIF('Infrastructure and Systems'!C72:P72,"No Issue Reported")+COUNTIF('Infrastructure and Systems'!C72:P72,"Partially Working")*0.7+COUNTIF('Infrastructure and Systems'!C72:P72,"Total Failure")*0.3</f>
        <v>0</v>
      </c>
      <c r="E4" s="13">
        <f>D4/C4</f>
        <v>0</v>
      </c>
      <c r="F4" s="2"/>
      <c r="G4" s="6"/>
      <c r="H4" s="6"/>
      <c r="I4" s="6"/>
    </row>
    <row r="5" spans="1:11" x14ac:dyDescent="0.25">
      <c r="A5" s="3">
        <f>'Infrastructure and Systems'!A5</f>
        <v>2</v>
      </c>
      <c r="B5" s="3" t="str">
        <f>'Infrastructure and Systems'!B5</f>
        <v>Wide Area Network (WAN)</v>
      </c>
      <c r="C5" s="3">
        <f>COUNTA('Infrastructure and Systems'!$C$71:$P$71)</f>
        <v>14</v>
      </c>
      <c r="D5" s="17">
        <f>COUNTIF('Infrastructure and Systems'!C73:P73,"No Issue Reported")+COUNTIF('Infrastructure and Systems'!C73:P73,"Partially Working")*0.7+COUNTIF('Infrastructure and Systems'!C73:P73,"Total Failure")*0.3</f>
        <v>0</v>
      </c>
      <c r="E5" s="13">
        <f t="shared" ref="E5:E10" si="0">D5/C5</f>
        <v>0</v>
      </c>
      <c r="F5" s="2"/>
      <c r="G5" s="2"/>
      <c r="H5" s="2"/>
      <c r="I5" s="2"/>
    </row>
    <row r="6" spans="1:11" x14ac:dyDescent="0.25">
      <c r="A6" s="3">
        <f>'Infrastructure and Systems'!A7</f>
        <v>4</v>
      </c>
      <c r="B6" s="3" t="str">
        <f>'Infrastructure and Systems'!B7</f>
        <v>Firewall</v>
      </c>
      <c r="C6" s="3">
        <f>COUNTA('Infrastructure and Systems'!$C$71:$P$71)</f>
        <v>14</v>
      </c>
      <c r="D6" s="17">
        <f>COUNTIF('Infrastructure and Systems'!C74:P74,"No Issue Reported")+COUNTIF('Infrastructure and Systems'!C74:P74,"Partially Working")*0.7+COUNTIF('Infrastructure and Systems'!C74:P74,"Total Failure")*0.3</f>
        <v>0</v>
      </c>
      <c r="E6" s="13">
        <f t="shared" si="0"/>
        <v>0</v>
      </c>
      <c r="F6" s="2"/>
      <c r="G6" s="12"/>
      <c r="H6" s="2"/>
      <c r="I6" s="2"/>
    </row>
    <row r="7" spans="1:11" x14ac:dyDescent="0.25">
      <c r="A7" s="3">
        <f>'Infrastructure and Systems'!A8</f>
        <v>5</v>
      </c>
      <c r="B7" s="3" t="str">
        <f>'Infrastructure and Systems'!B8</f>
        <v>E-Mail Server</v>
      </c>
      <c r="C7" s="3">
        <f>COUNTA('Infrastructure and Systems'!$C$71:$P$71)</f>
        <v>14</v>
      </c>
      <c r="D7">
        <f>COUNTIF('Infrastructure and Systems'!C75:P75,"Domino in use")*1+COUNTIF('Infrastructure and Systems'!C75:P75,"Exchange in Use")*0.8+COUNTIF('Infrastructure and Systems'!C75:P75,"Domino In Use-Issues")*0.6+COUNTIF('Infrastructure and Systems'!C75:P75,"Exchange In Use-Issues")*0.4+COUNTIF('Infrastructure and Systems'!C75:P75,"None")*0.2</f>
        <v>0</v>
      </c>
      <c r="E7" s="13">
        <f t="shared" si="0"/>
        <v>0</v>
      </c>
      <c r="F7" s="12"/>
      <c r="G7" s="12"/>
      <c r="H7" s="2"/>
      <c r="I7" s="2"/>
    </row>
    <row r="8" spans="1:11" x14ac:dyDescent="0.25">
      <c r="A8" s="3">
        <f>'Infrastructure and Systems'!A9</f>
        <v>6</v>
      </c>
      <c r="B8" s="3" t="str">
        <f>'Infrastructure and Systems'!B9</f>
        <v>Business Servers (EWS, Chaipro)</v>
      </c>
      <c r="C8" s="3">
        <f>COUNTA('Infrastructure and Systems'!$C$71:$P$71)</f>
        <v>14</v>
      </c>
      <c r="D8" s="17">
        <f>COUNTIF('Infrastructure and Systems'!C76:P76,"No Issue Reported")+COUNTIF('Infrastructure and Systems'!C76:P76,"Partially Working")*0.7+COUNTIF('Infrastructure and Systems'!C76:P76,"Total Failure")*0.3</f>
        <v>0</v>
      </c>
      <c r="E8" s="13">
        <f t="shared" si="0"/>
        <v>0</v>
      </c>
      <c r="F8" s="2"/>
      <c r="G8" s="2"/>
      <c r="H8" s="2"/>
      <c r="I8" s="2"/>
    </row>
    <row r="9" spans="1:11" x14ac:dyDescent="0.25">
      <c r="A9" s="3">
        <f>'Infrastructure and Systems'!A10</f>
        <v>7</v>
      </c>
      <c r="B9" s="3" t="str">
        <f>'Infrastructure and Systems'!B10</f>
        <v>Electronic Weighment Solution (EWS Version)</v>
      </c>
      <c r="C9" s="3">
        <f>COUNTA('Infrastructure and Systems'!$C$71:$P$71)</f>
        <v>14</v>
      </c>
      <c r="D9" s="17">
        <f>COUNTIF('Infrastructure and Systems'!C77:P77,"No Issue Reported")+COUNTIF('Infrastructure and Systems'!C77:P77,"Partially Working")*0.7+COUNTIF('Infrastructure and Systems'!C77:P77,"Total Failure")*0.3</f>
        <v>0</v>
      </c>
      <c r="E9" s="13">
        <f t="shared" si="0"/>
        <v>0</v>
      </c>
      <c r="F9" s="2"/>
      <c r="G9" s="12"/>
      <c r="H9" s="2"/>
      <c r="I9" s="2"/>
    </row>
    <row r="10" spans="1:11" x14ac:dyDescent="0.25">
      <c r="A10" s="3" t="e">
        <f>'Infrastructure and Systems'!#REF!</f>
        <v>#REF!</v>
      </c>
      <c r="B10" s="3" t="e">
        <f>'Infrastructure and Systems'!#REF!</f>
        <v>#REF!</v>
      </c>
      <c r="C10" s="3">
        <f>COUNTA('Infrastructure and Systems'!$C$71:$P$71)</f>
        <v>14</v>
      </c>
      <c r="D10" s="17">
        <f>COUNTIF('Infrastructure and Systems'!C78:P78,"No Issue Reported")+COUNTIF('Infrastructure and Systems'!C78:P78,"Partially Working")*0.7+COUNTIF('Infrastructure and Systems'!C78:P78,"Total Failure")*0.3</f>
        <v>0</v>
      </c>
      <c r="E10" s="13">
        <f t="shared" si="0"/>
        <v>0</v>
      </c>
      <c r="F10" s="2"/>
      <c r="G10" s="2"/>
      <c r="H10" s="2"/>
      <c r="I10" s="2"/>
    </row>
    <row r="11" spans="1:11" x14ac:dyDescent="0.25">
      <c r="A11" s="2"/>
      <c r="B11" s="1" t="s">
        <v>29</v>
      </c>
      <c r="C11" s="1"/>
      <c r="D11" s="1"/>
      <c r="E11" s="4">
        <f>AVERAGE(E4:E10)</f>
        <v>0</v>
      </c>
      <c r="F11" s="2"/>
      <c r="G11" s="2"/>
      <c r="H11" s="2"/>
      <c r="I11" s="2"/>
    </row>
    <row r="12" spans="1:11" x14ac:dyDescent="0.25">
      <c r="B12" s="8"/>
      <c r="C12" s="8"/>
      <c r="D12" s="8"/>
      <c r="E12" s="9"/>
    </row>
    <row r="13" spans="1:11" ht="13.8" x14ac:dyDescent="0.25">
      <c r="B13" s="10" t="s">
        <v>40</v>
      </c>
    </row>
    <row r="14" spans="1:11" ht="26.4" x14ac:dyDescent="0.25">
      <c r="A14" s="5" t="s">
        <v>34</v>
      </c>
      <c r="B14" s="5" t="s">
        <v>33</v>
      </c>
      <c r="C14" s="6" t="s">
        <v>28</v>
      </c>
      <c r="D14" s="6" t="s">
        <v>47</v>
      </c>
      <c r="E14" s="6" t="s">
        <v>32</v>
      </c>
      <c r="F14" s="6" t="s">
        <v>31</v>
      </c>
      <c r="G14" s="5" t="s">
        <v>30</v>
      </c>
      <c r="H14" s="5"/>
      <c r="I14" s="5"/>
      <c r="K14">
        <f>COUNTIF('Chaipro-SAP'!C52:U52,"SAP")</f>
        <v>0</v>
      </c>
    </row>
    <row r="15" spans="1:11" ht="12.75" customHeight="1" x14ac:dyDescent="0.25">
      <c r="A15" s="3">
        <v>1</v>
      </c>
      <c r="B15" s="3" t="s">
        <v>15</v>
      </c>
      <c r="C15" s="3">
        <v>14</v>
      </c>
      <c r="D15" s="36">
        <f>COUNTIF('Chaipro-SAP'!C52:U52,"SAP")+COUNTIF('Chaipro-SAP'!C52:U52,"2.5.5.9")*1+COUNTIF('Chaipro-SAP'!C52:U52,"Other version Working")*0.8+COUNTIF('Chaipro-SAP'!C52:U52,"2.5.5.9With Issues")*0.6+COUNTIF('Chaipro-SAP'!C52:U52,"Other version With Issues")*0.4 + COUNTIF('Chaipro-SAP'!C52:U52,"None")*0.25</f>
        <v>6</v>
      </c>
      <c r="E15" s="13">
        <f t="shared" ref="E15:E21" si="1">D15/C15</f>
        <v>0.42857142857142855</v>
      </c>
      <c r="F15" s="2"/>
      <c r="G15" s="2"/>
      <c r="H15" s="2"/>
      <c r="I15" s="2"/>
    </row>
    <row r="16" spans="1:11" ht="13.5" customHeight="1" x14ac:dyDescent="0.25">
      <c r="A16" s="3">
        <v>2</v>
      </c>
      <c r="B16" s="3" t="s">
        <v>16</v>
      </c>
      <c r="C16" s="3">
        <v>14</v>
      </c>
      <c r="D16" s="36">
        <f>COUNTIF('Chaipro-SAP'!C53:P53,"2.5.2.7")*1+COUNTIF('Chaipro-SAP'!C53:P53,"SAP")*1+COUNTIF('Chaipro-SAP'!C53:U53,"Other version Working")*0.8+COUNTIF('Chaipro-SAP'!C53:U53,"2.5.2.7 With Issues")*0.6+COUNTIF('Chaipro-SAP'!C53:U53,"Other version With Issues")*0.4 + COUNTIF('Chaipro-SAP'!C53:U53,"None")*0.25</f>
        <v>6</v>
      </c>
      <c r="E16" s="13">
        <f t="shared" si="1"/>
        <v>0.42857142857142855</v>
      </c>
      <c r="F16" s="2"/>
      <c r="G16" s="2"/>
      <c r="H16" s="2"/>
      <c r="I16" s="2"/>
    </row>
    <row r="17" spans="1:9" x14ac:dyDescent="0.25">
      <c r="A17" s="3">
        <v>3</v>
      </c>
      <c r="B17" s="3" t="s">
        <v>17</v>
      </c>
      <c r="C17" s="3">
        <v>14</v>
      </c>
      <c r="D17" s="36">
        <f>COUNTIF('Chaipro-SAP'!C54:U54,"3.0.0.0")*1+COUNTIF('Chaipro-SAP'!C54:U54,"2.8.0.0")*1+COUNTIF('Chaipro-SAP'!C54:U54,"Other version Working")*0.8+COUNTIF('Chaipro-SAP'!C54:U54,"2.8.0.0 With Issues")*0.6+COUNTIF('Chaipro-SAP'!C54:U54,"Other version With Issues")*0.4 + COUNTIF('Chaipro-SAP'!C54:U54,"None")*0.25</f>
        <v>0</v>
      </c>
      <c r="E17" s="13">
        <f t="shared" si="1"/>
        <v>0</v>
      </c>
      <c r="F17" s="12"/>
      <c r="G17" s="12"/>
      <c r="H17" s="2"/>
      <c r="I17" s="2"/>
    </row>
    <row r="18" spans="1:9" x14ac:dyDescent="0.25">
      <c r="A18" s="3">
        <v>4</v>
      </c>
      <c r="B18" s="3" t="s">
        <v>18</v>
      </c>
      <c r="C18" s="3">
        <v>14</v>
      </c>
      <c r="D18" s="36">
        <f>COUNTIF('Chaipro-SAP'!C55:U55,"SAP")*1+COUNTIF('Chaipro-SAP'!C55:U55,"3.2.5.1")*1+COUNTIF('Chaipro-SAP'!C55:U55,"Other version Working")*0.8+COUNTIF('Chaipro-SAP'!C55:U55,"3.2.5.1 With Issues")*0.6+COUNTIF('Chaipro-SAP'!C55:U55,"Other version With Issues")*0.4 + COUNTIF('Chaipro-SAP'!C55:U55,"None")*0.25</f>
        <v>6</v>
      </c>
      <c r="E18" s="13">
        <f t="shared" si="1"/>
        <v>0.42857142857142855</v>
      </c>
      <c r="F18" s="2"/>
      <c r="G18" s="2"/>
      <c r="H18" s="2"/>
      <c r="I18" s="2"/>
    </row>
    <row r="19" spans="1:9" x14ac:dyDescent="0.25">
      <c r="A19" s="3">
        <v>6</v>
      </c>
      <c r="B19" s="3" t="s">
        <v>19</v>
      </c>
      <c r="C19" s="3">
        <v>14</v>
      </c>
      <c r="D19" s="36">
        <f>COUNTIF('Chaipro-SAP'!C56:U56,"Working")*1+COUNTIF('Chaipro-SAP'!C56:U56,"Working With Issues")*0.5</f>
        <v>4</v>
      </c>
      <c r="E19" s="13">
        <f t="shared" si="1"/>
        <v>0.2857142857142857</v>
      </c>
      <c r="F19" s="2"/>
      <c r="G19" s="2"/>
      <c r="H19" s="2"/>
      <c r="I19" s="2"/>
    </row>
    <row r="20" spans="1:9" x14ac:dyDescent="0.25">
      <c r="A20" s="3">
        <v>7</v>
      </c>
      <c r="B20" s="3" t="s">
        <v>20</v>
      </c>
      <c r="C20" s="3">
        <v>14</v>
      </c>
      <c r="D20" s="36">
        <f>COUNTIF('Chaipro-SAP'!C57:U57,"1.0.0.3")*1+COUNTIF('Chaipro-SAP'!C57:U57,"Other version Working")*0.8+COUNTIF('Chaipro-SAP'!C57:U57,"1.0.0.3 With Issues")*0.6+COUNTIF('Chaipro-SAP'!C57:U57,"Other version With Issues")*0.4 + COUNTIF('Chaipro-SAP'!C57:U57,"None")*0.25</f>
        <v>1</v>
      </c>
      <c r="E20" s="13">
        <f t="shared" si="1"/>
        <v>7.1428571428571425E-2</v>
      </c>
      <c r="F20" s="2"/>
      <c r="G20" s="2"/>
      <c r="H20" s="2"/>
      <c r="I20" s="2"/>
    </row>
    <row r="21" spans="1:9" x14ac:dyDescent="0.25">
      <c r="A21" s="3">
        <v>8</v>
      </c>
      <c r="B21" s="3" t="s">
        <v>21</v>
      </c>
      <c r="C21" s="3">
        <v>14</v>
      </c>
      <c r="D21" s="36">
        <f>COUNTIF('Chaipro-SAP'!C58:U58,"2.2")*1+COUNTIF('Chaipro-SAP'!C58:U58,"Other version Working")*0.8+COUNTIF('Chaipro-SAP'!C58:U58,"2.2 With Issues")*0.6+COUNTIF('Chaipro-SAP'!C58:U58,"Other version With Issues")*0.4 + COUNTIF('Chaipro-SAP'!C58:U58,"None")*0.25</f>
        <v>0</v>
      </c>
      <c r="E21" s="13">
        <f t="shared" si="1"/>
        <v>0</v>
      </c>
      <c r="F21" s="2"/>
      <c r="G21" s="12"/>
      <c r="H21" s="2"/>
      <c r="I21" s="2"/>
    </row>
    <row r="22" spans="1:9" x14ac:dyDescent="0.25">
      <c r="A22" s="2"/>
      <c r="B22" s="1" t="s">
        <v>29</v>
      </c>
      <c r="C22" s="1"/>
      <c r="D22" s="1"/>
      <c r="E22" s="4">
        <f>AVERAGE(E15:E21)</f>
        <v>0.23469387755102036</v>
      </c>
      <c r="F22" s="2"/>
      <c r="G22" s="2"/>
      <c r="H22" s="2"/>
      <c r="I22" s="2"/>
    </row>
    <row r="23" spans="1:9" x14ac:dyDescent="0.25">
      <c r="B23" s="8"/>
      <c r="C23" s="8"/>
      <c r="D23" s="8"/>
      <c r="E23" s="9"/>
    </row>
    <row r="24" spans="1:9" ht="13.8" x14ac:dyDescent="0.25">
      <c r="B24" s="10" t="s">
        <v>42</v>
      </c>
    </row>
    <row r="25" spans="1:9" ht="26.4" x14ac:dyDescent="0.25">
      <c r="A25" s="5" t="s">
        <v>34</v>
      </c>
      <c r="B25" s="5" t="s">
        <v>33</v>
      </c>
      <c r="C25" s="6" t="s">
        <v>28</v>
      </c>
      <c r="D25" s="6" t="s">
        <v>47</v>
      </c>
      <c r="E25" s="6" t="s">
        <v>32</v>
      </c>
      <c r="F25" s="6" t="s">
        <v>31</v>
      </c>
      <c r="G25" s="5" t="s">
        <v>30</v>
      </c>
      <c r="H25" s="5"/>
      <c r="I25" s="5"/>
    </row>
    <row r="26" spans="1:9" ht="15.6" x14ac:dyDescent="0.3">
      <c r="A26" s="3">
        <v>1</v>
      </c>
      <c r="B26" s="3" t="s">
        <v>22</v>
      </c>
      <c r="C26" s="3">
        <f>COUNTA('ICT Inventory'!#REF!)</f>
        <v>1</v>
      </c>
      <c r="D26" s="17" t="e">
        <f>COUNTIF('ICT Inventory'!#REF!,"No Issue Reported")+COUNTIF('ICT Inventory'!#REF!,"Partially Working")*0.7+COUNTIF('ICT Inventory'!#REF!,"Total Failure")*0.3</f>
        <v>#REF!</v>
      </c>
      <c r="E26" s="13" t="e">
        <f>D26/C26</f>
        <v>#REF!</v>
      </c>
      <c r="F26" s="2"/>
      <c r="G26" s="2"/>
      <c r="H26" s="2"/>
      <c r="I26" s="2"/>
    </row>
    <row r="27" spans="1:9" ht="13.8" x14ac:dyDescent="0.3">
      <c r="A27" s="3">
        <v>2</v>
      </c>
      <c r="B27" s="3" t="s">
        <v>23</v>
      </c>
      <c r="C27" s="3">
        <f>COUNTA('ICT Inventory'!#REF!)</f>
        <v>1</v>
      </c>
      <c r="D27" s="17" t="e">
        <f>COUNTIF('ICT Inventory'!#REF!,"No Issue Reported")+COUNTIF('ICT Inventory'!#REF!,"Partially Working")*0.7+COUNTIF('ICT Inventory'!#REF!,"Total Failure")*0.3</f>
        <v>#REF!</v>
      </c>
      <c r="E27" s="13" t="e">
        <f>D27/C27</f>
        <v>#REF!</v>
      </c>
      <c r="F27" s="2"/>
      <c r="G27" s="2"/>
      <c r="H27" s="2"/>
      <c r="I27" s="2"/>
    </row>
    <row r="28" spans="1:9" ht="27.6" x14ac:dyDescent="0.3">
      <c r="A28" s="3">
        <v>3</v>
      </c>
      <c r="B28" s="11" t="s">
        <v>24</v>
      </c>
      <c r="C28" s="3">
        <f>COUNTA('ICT Inventory'!#REF!)</f>
        <v>1</v>
      </c>
      <c r="D28" s="17" t="e">
        <f>COUNTIF('ICT Inventory'!#REF!,"No Issue Reported")+COUNTIF('ICT Inventory'!#REF!,"Partially Working")*0.7+COUNTIF('ICT Inventory'!#REF!,"Total Failure")*0.3</f>
        <v>#REF!</v>
      </c>
      <c r="E28" s="13" t="e">
        <f>D28/C28</f>
        <v>#REF!</v>
      </c>
      <c r="F28" s="2"/>
      <c r="G28" s="2"/>
      <c r="H28" s="2"/>
      <c r="I28" s="2"/>
    </row>
    <row r="29" spans="1:9" ht="14.4" x14ac:dyDescent="0.3">
      <c r="A29" s="3">
        <v>4</v>
      </c>
      <c r="B29" s="3" t="s">
        <v>25</v>
      </c>
      <c r="C29" s="3">
        <f>COUNTA('ICT Inventory'!#REF!)</f>
        <v>1</v>
      </c>
      <c r="D29" s="17" t="e">
        <f>COUNTIF('ICT Inventory'!#REF!,"No Issue Reported")+COUNTIF('ICT Inventory'!#REF!,"Partially Working")*0.7+COUNTIF('ICT Inventory'!#REF!,"Total Failure")*0.3</f>
        <v>#REF!</v>
      </c>
      <c r="E29" s="13" t="e">
        <f>D29/C29</f>
        <v>#REF!</v>
      </c>
      <c r="F29" s="2"/>
      <c r="G29" s="2"/>
      <c r="H29" s="2"/>
      <c r="I29" s="2"/>
    </row>
    <row r="30" spans="1:9" x14ac:dyDescent="0.25">
      <c r="A30" s="2"/>
      <c r="B30" s="1" t="s">
        <v>29</v>
      </c>
      <c r="C30" s="1"/>
      <c r="D30" s="1"/>
      <c r="E30" s="4" t="e">
        <f>AVERAGE(E26:E29)</f>
        <v>#REF!</v>
      </c>
      <c r="F30" s="2"/>
      <c r="G30" s="2"/>
      <c r="H30" s="2"/>
      <c r="I30" s="2"/>
    </row>
    <row r="31" spans="1:9" x14ac:dyDescent="0.25">
      <c r="A31" s="7"/>
      <c r="B31" s="7"/>
      <c r="C31" s="7"/>
      <c r="E31" s="14"/>
    </row>
    <row r="32" spans="1:9" ht="13.8" x14ac:dyDescent="0.25">
      <c r="B32" s="10" t="s">
        <v>41</v>
      </c>
    </row>
    <row r="33" spans="1:9" ht="26.4" x14ac:dyDescent="0.25">
      <c r="A33" s="5" t="s">
        <v>34</v>
      </c>
      <c r="B33" s="5" t="s">
        <v>33</v>
      </c>
      <c r="C33" s="6" t="s">
        <v>28</v>
      </c>
      <c r="D33" s="6" t="s">
        <v>47</v>
      </c>
      <c r="E33" s="6" t="s">
        <v>32</v>
      </c>
      <c r="F33" s="6" t="s">
        <v>31</v>
      </c>
      <c r="G33" s="5" t="s">
        <v>30</v>
      </c>
      <c r="H33" s="5"/>
      <c r="I33" s="5"/>
    </row>
    <row r="34" spans="1:9" x14ac:dyDescent="0.25">
      <c r="A34" s="3">
        <v>1</v>
      </c>
      <c r="B34" s="3" t="s">
        <v>26</v>
      </c>
      <c r="C34" s="3">
        <f>COUNTA(BCP!#REF!)</f>
        <v>1</v>
      </c>
      <c r="D34" s="2" t="e">
        <f>COUNTIF(BCP!#REF!,"Offsite &amp; Schedule backups in place")</f>
        <v>#REF!</v>
      </c>
      <c r="E34" s="13" t="e">
        <f>D34/C34</f>
        <v>#REF!</v>
      </c>
      <c r="F34" s="2"/>
      <c r="G34" s="2"/>
      <c r="H34" s="2"/>
      <c r="I34" s="2"/>
    </row>
    <row r="35" spans="1:9" x14ac:dyDescent="0.25">
      <c r="A35" s="2"/>
      <c r="B35" s="1" t="s">
        <v>29</v>
      </c>
      <c r="C35" s="1"/>
      <c r="D35" s="1"/>
      <c r="E35" s="4" t="e">
        <f>AVERAGE(E34)</f>
        <v>#REF!</v>
      </c>
      <c r="F35" s="2"/>
      <c r="G35" s="2"/>
      <c r="H35" s="2"/>
      <c r="I35" s="2"/>
    </row>
    <row r="38" spans="1:9" ht="13.8" x14ac:dyDescent="0.25">
      <c r="B38" s="10" t="s">
        <v>48</v>
      </c>
    </row>
    <row r="39" spans="1:9" ht="26.4" x14ac:dyDescent="0.25">
      <c r="A39" s="5" t="s">
        <v>34</v>
      </c>
      <c r="B39" s="5" t="s">
        <v>33</v>
      </c>
      <c r="C39" s="6" t="s">
        <v>28</v>
      </c>
      <c r="D39" s="6" t="s">
        <v>67</v>
      </c>
      <c r="E39" s="6" t="s">
        <v>50</v>
      </c>
      <c r="F39" s="6" t="s">
        <v>31</v>
      </c>
      <c r="G39" s="5" t="s">
        <v>30</v>
      </c>
      <c r="H39" s="5"/>
      <c r="I39" s="5"/>
    </row>
    <row r="40" spans="1:9" ht="19.5" customHeight="1" x14ac:dyDescent="0.25">
      <c r="A40" s="3">
        <v>1</v>
      </c>
      <c r="B40" s="3" t="s">
        <v>49</v>
      </c>
      <c r="C40" s="3">
        <f>COUNTA('ICT Cost'!#REF!)</f>
        <v>1</v>
      </c>
      <c r="D40" s="38">
        <f>'ICT Cost'!R53</f>
        <v>2894127.93</v>
      </c>
      <c r="E40" s="15"/>
      <c r="F40" s="12"/>
      <c r="G40" s="2"/>
      <c r="H40" s="2"/>
      <c r="I40" s="2"/>
    </row>
    <row r="41" spans="1:9" x14ac:dyDescent="0.25">
      <c r="A41" s="2"/>
      <c r="B41" s="1" t="s">
        <v>29</v>
      </c>
      <c r="C41" s="1"/>
      <c r="D41" s="1"/>
      <c r="E41" s="4"/>
      <c r="F41" s="2"/>
      <c r="G41" s="2"/>
      <c r="H41" s="2"/>
      <c r="I41" s="2"/>
    </row>
  </sheetData>
  <phoneticPr fontId="3" type="noConversion"/>
  <pageMargins left="0.75" right="0.75" top="1" bottom="1" header="0.5" footer="0.5"/>
  <pageSetup paperSize="9" orientation="portrait" horizontalDpi="300" verticalDpi="4294967295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I41"/>
  <sheetViews>
    <sheetView workbookViewId="0">
      <selection activeCell="D4" sqref="D4"/>
    </sheetView>
  </sheetViews>
  <sheetFormatPr defaultRowHeight="13.2" x14ac:dyDescent="0.25"/>
  <cols>
    <col min="1" max="1" width="4" bestFit="1" customWidth="1"/>
    <col min="2" max="2" width="62.33203125" customWidth="1"/>
    <col min="3" max="3" width="9.5546875" bestFit="1" customWidth="1"/>
    <col min="4" max="4" width="11.44140625" customWidth="1"/>
    <col min="5" max="5" width="10.109375" customWidth="1"/>
    <col min="6" max="6" width="19" customWidth="1"/>
    <col min="7" max="7" width="12.44140625" bestFit="1" customWidth="1"/>
  </cols>
  <sheetData>
    <row r="1" spans="1:9" x14ac:dyDescent="0.25">
      <c r="B1" s="8" t="s">
        <v>27</v>
      </c>
    </row>
    <row r="2" spans="1:9" ht="13.8" x14ac:dyDescent="0.25">
      <c r="B2" s="10" t="s">
        <v>39</v>
      </c>
    </row>
    <row r="3" spans="1:9" ht="26.4" x14ac:dyDescent="0.25">
      <c r="A3" s="5" t="str">
        <f>'Infrastructure and Systems'!A3</f>
        <v>No.</v>
      </c>
      <c r="B3" s="5" t="s">
        <v>33</v>
      </c>
      <c r="C3" s="6" t="s">
        <v>28</v>
      </c>
      <c r="D3" s="6" t="s">
        <v>27</v>
      </c>
      <c r="E3" s="6" t="s">
        <v>32</v>
      </c>
      <c r="F3" s="6" t="s">
        <v>35</v>
      </c>
      <c r="G3" s="6" t="s">
        <v>36</v>
      </c>
      <c r="H3" s="6" t="s">
        <v>37</v>
      </c>
      <c r="I3" s="6" t="s">
        <v>38</v>
      </c>
    </row>
    <row r="4" spans="1:9" x14ac:dyDescent="0.25">
      <c r="A4" s="3">
        <f>'Infrastructure and Systems'!A4</f>
        <v>1</v>
      </c>
      <c r="B4" s="3" t="str">
        <f>'Infrastructure and Systems'!B4</f>
        <v>Local Area Network (LAN)</v>
      </c>
      <c r="C4" s="3">
        <f>COUNTA('Infrastructure and Systems'!$C$88:$S$88)</f>
        <v>14</v>
      </c>
      <c r="D4" s="17">
        <f>COUNTIF('Infrastructure and Systems'!C89:O89,"No Issue Reported")+COUNTIF('Infrastructure and Systems'!C89:O89,"Partially Working")*0.7+COUNTIF('Infrastructure and Systems'!C89:O89,"Total Failure")*0.3</f>
        <v>0</v>
      </c>
      <c r="E4" s="13">
        <f>D4/C4</f>
        <v>0</v>
      </c>
      <c r="F4" s="2"/>
      <c r="G4" s="6"/>
      <c r="H4" s="6"/>
      <c r="I4" s="6"/>
    </row>
    <row r="5" spans="1:9" x14ac:dyDescent="0.25">
      <c r="A5" s="3">
        <f>'Infrastructure and Systems'!A5</f>
        <v>2</v>
      </c>
      <c r="B5" s="3" t="str">
        <f>'Infrastructure and Systems'!B5</f>
        <v>Wide Area Network (WAN)</v>
      </c>
      <c r="C5" s="3">
        <f>COUNTA('Infrastructure and Systems'!$C$88:$O$88)</f>
        <v>13</v>
      </c>
      <c r="D5" s="17">
        <f>COUNTIF('Infrastructure and Systems'!C90:O90,"No Issue Reported")+COUNTIF('Infrastructure and Systems'!C90:O90,"Partially Working")*0.7+COUNTIF('Infrastructure and Systems'!C90:O90,"Total Failure")*0.3</f>
        <v>0</v>
      </c>
      <c r="E5" s="13">
        <f>D5/C5</f>
        <v>0</v>
      </c>
      <c r="F5" s="2"/>
      <c r="G5" s="12"/>
      <c r="H5" s="2"/>
      <c r="I5" s="2"/>
    </row>
    <row r="6" spans="1:9" x14ac:dyDescent="0.25">
      <c r="A6" s="3">
        <f>'Infrastructure and Systems'!A7</f>
        <v>4</v>
      </c>
      <c r="B6" s="3" t="str">
        <f>'Infrastructure and Systems'!B7</f>
        <v>Firewall</v>
      </c>
      <c r="C6" s="3">
        <f>COUNTA('Infrastructure and Systems'!$C$88:$O$88)</f>
        <v>13</v>
      </c>
      <c r="D6" s="17">
        <f>COUNTIF('Infrastructure and Systems'!C91:O91,"No Issue Reported")+COUNTIF('Infrastructure and Systems'!C91:O91,"Partially Working")*0.7+COUNTIF('Infrastructure and Systems'!C91:O91,"Total Failure")*0.3</f>
        <v>0</v>
      </c>
      <c r="E6" s="13">
        <f>IF('Infrastructure and Systems'!C7="Internet slow even sometimes not available",(D6/C6)/2,(D6/C6))</f>
        <v>0</v>
      </c>
      <c r="F6" s="2"/>
      <c r="G6" s="12"/>
      <c r="H6" s="2"/>
      <c r="I6" s="2"/>
    </row>
    <row r="7" spans="1:9" x14ac:dyDescent="0.25">
      <c r="A7" s="3">
        <f>'Infrastructure and Systems'!A8</f>
        <v>5</v>
      </c>
      <c r="B7" s="3" t="str">
        <f>'Infrastructure and Systems'!B8</f>
        <v>E-Mail Server</v>
      </c>
      <c r="C7" s="3">
        <f>COUNTA('Infrastructure and Systems'!$C$88:$O$88)</f>
        <v>13</v>
      </c>
      <c r="D7">
        <f>COUNTIF('Infrastructure and Systems'!C92:O92,"Domino in use")*1+COUNTIF('Infrastructure and Systems'!C92:O92,"Exchange in Use")*0.8+COUNTIF('Infrastructure and Systems'!C92:O92,"Domino In Use-Issues")*0.6+COUNTIF('Infrastructure and Systems'!C92:O92,"Exchange In Use-Issues")*0.4+COUNTIF('Infrastructure and Systems'!C92:O92,"None")*0.2</f>
        <v>0</v>
      </c>
      <c r="E7" s="13">
        <f>D7/C7</f>
        <v>0</v>
      </c>
      <c r="F7" s="12"/>
      <c r="G7" s="12"/>
      <c r="H7" s="2"/>
      <c r="I7" s="2"/>
    </row>
    <row r="8" spans="1:9" x14ac:dyDescent="0.25">
      <c r="A8" s="3">
        <f>'Infrastructure and Systems'!A9</f>
        <v>6</v>
      </c>
      <c r="B8" s="3" t="str">
        <f>'Infrastructure and Systems'!B9</f>
        <v>Business Servers (EWS, Chaipro)</v>
      </c>
      <c r="C8" s="3">
        <f>COUNTA('Infrastructure and Systems'!$C$88:$O$88)</f>
        <v>13</v>
      </c>
      <c r="D8" s="17">
        <f>COUNTIF('Infrastructure and Systems'!C93:O93,"No Issue Reported")+COUNTIF('Infrastructure and Systems'!C93:O93,"Partially Working")*0.7+COUNTIF('Infrastructure and Systems'!C93:O93,"Total Failure")*0.3</f>
        <v>0</v>
      </c>
      <c r="E8" s="13">
        <f>D8/C8</f>
        <v>0</v>
      </c>
      <c r="F8" s="2"/>
      <c r="G8" s="2"/>
      <c r="H8" s="2"/>
      <c r="I8" s="2"/>
    </row>
    <row r="9" spans="1:9" x14ac:dyDescent="0.25">
      <c r="A9" s="3">
        <f>'Infrastructure and Systems'!A10</f>
        <v>7</v>
      </c>
      <c r="B9" s="3" t="str">
        <f>'Infrastructure and Systems'!B10</f>
        <v>Electronic Weighment Solution (EWS Version)</v>
      </c>
      <c r="C9" s="3">
        <f>COUNTA('Infrastructure and Systems'!$C$88:$O$88)</f>
        <v>13</v>
      </c>
      <c r="D9" s="17">
        <f>COUNTIF('Infrastructure and Systems'!C94:O94,"No Issue Reported")+COUNTIF('Infrastructure and Systems'!C94:O94,"Partially Working")*0.7+COUNTIF('Infrastructure and Systems'!C94:O94,"Total Failure")*0.3</f>
        <v>0</v>
      </c>
      <c r="E9" s="13">
        <f>D9/C9</f>
        <v>0</v>
      </c>
      <c r="F9" s="2"/>
      <c r="G9" s="12"/>
      <c r="H9" s="2"/>
      <c r="I9" s="2"/>
    </row>
    <row r="10" spans="1:9" x14ac:dyDescent="0.25">
      <c r="A10" s="3" t="e">
        <f>'Infrastructure and Systems'!#REF!</f>
        <v>#REF!</v>
      </c>
      <c r="B10" s="3" t="e">
        <f>'Infrastructure and Systems'!#REF!</f>
        <v>#REF!</v>
      </c>
      <c r="C10" s="3">
        <f>COUNTA('Infrastructure and Systems'!$C$88:$O$88)</f>
        <v>13</v>
      </c>
      <c r="D10" s="17">
        <f>COUNTIF('Infrastructure and Systems'!C95:O95,"No Issue Reported")+COUNTIF('Infrastructure and Systems'!C95:O95,"Partially Working")*0.7+COUNTIF('Infrastructure and Systems'!C95:O95,"Total Failure")*0.3</f>
        <v>0</v>
      </c>
      <c r="E10" s="13">
        <f>D10/C10</f>
        <v>0</v>
      </c>
      <c r="F10" s="12"/>
      <c r="G10" s="2"/>
      <c r="H10" s="2"/>
      <c r="I10" s="2"/>
    </row>
    <row r="11" spans="1:9" x14ac:dyDescent="0.25">
      <c r="A11" s="2"/>
      <c r="B11" s="1" t="s">
        <v>29</v>
      </c>
      <c r="C11" s="1"/>
      <c r="D11" s="1"/>
      <c r="E11" s="37">
        <f>AVERAGE(E4:E10)</f>
        <v>0</v>
      </c>
      <c r="F11" s="2"/>
      <c r="G11" s="2"/>
      <c r="H11" s="2"/>
      <c r="I11" s="2"/>
    </row>
    <row r="12" spans="1:9" x14ac:dyDescent="0.25">
      <c r="B12" s="8"/>
      <c r="C12" s="8"/>
      <c r="D12" s="8"/>
      <c r="E12" s="9"/>
    </row>
    <row r="13" spans="1:9" ht="13.8" x14ac:dyDescent="0.25">
      <c r="B13" s="10" t="s">
        <v>40</v>
      </c>
    </row>
    <row r="14" spans="1:9" ht="26.4" x14ac:dyDescent="0.25">
      <c r="A14" s="5" t="s">
        <v>34</v>
      </c>
      <c r="B14" s="5" t="s">
        <v>33</v>
      </c>
      <c r="C14" s="6" t="s">
        <v>28</v>
      </c>
      <c r="D14" s="6" t="s">
        <v>27</v>
      </c>
      <c r="E14" s="6" t="s">
        <v>32</v>
      </c>
      <c r="F14" s="6" t="s">
        <v>31</v>
      </c>
      <c r="G14" s="5" t="s">
        <v>30</v>
      </c>
      <c r="H14" s="5"/>
      <c r="I14" s="5"/>
    </row>
    <row r="15" spans="1:9" ht="12.75" customHeight="1" x14ac:dyDescent="0.25">
      <c r="A15" s="3">
        <v>1</v>
      </c>
      <c r="B15" s="3" t="s">
        <v>15</v>
      </c>
      <c r="C15" s="3">
        <f>COUNTA('Infrastructure and Systems'!$C$88:$O$88)</f>
        <v>13</v>
      </c>
      <c r="D15" s="17" t="e">
        <f>COUNTIF('Chaipro-SAP'!#REF!,"2.5.5.9")*1+COUNTIF('Chaipro-SAP'!#REF!,"SAP")*1+COUNTIF('Chaipro-SAP'!#REF!,"Other version Working")*0.8+COUNTIF('Chaipro-SAP'!#REF!,"2.5.5.7 With Issues")*0.6+COUNTIF('Chaipro-SAP'!#REF!,"Other version With Issues")*0.4 + COUNTIF('Chaipro-SAP'!#REF!,"None")*0.25</f>
        <v>#REF!</v>
      </c>
      <c r="E15" s="13" t="e">
        <f t="shared" ref="E15:E21" si="0">D15/C15</f>
        <v>#REF!</v>
      </c>
      <c r="F15" s="2"/>
      <c r="G15" s="2"/>
      <c r="H15" s="2"/>
      <c r="I15" s="2"/>
    </row>
    <row r="16" spans="1:9" ht="13.5" customHeight="1" x14ac:dyDescent="0.25">
      <c r="A16" s="3">
        <v>2</v>
      </c>
      <c r="B16" s="3" t="s">
        <v>16</v>
      </c>
      <c r="C16" s="3">
        <f>COUNTA('Infrastructure and Systems'!$C$88:$O$88)</f>
        <v>13</v>
      </c>
      <c r="D16" s="17" t="e">
        <f>COUNTIF('Chaipro-SAP'!#REF!,"2.5.2.7")*1+COUNTIF('Chaipro-SAP'!#REF!,"SAP")*1+COUNTIF('Chaipro-SAP'!#REF!,"Other version Working")*0.8+COUNTIF('Chaipro-SAP'!#REF!,"2.5.2.5 With Issues")*0.6+COUNTIF('Chaipro-SAP'!#REF!,"Other version With Issues")*0.4 + COUNTIF('Chaipro-SAP'!#REF!,"None")*0.25</f>
        <v>#REF!</v>
      </c>
      <c r="E16" s="13" t="e">
        <f t="shared" si="0"/>
        <v>#REF!</v>
      </c>
      <c r="F16" s="2"/>
      <c r="G16" s="2"/>
      <c r="H16" s="2"/>
      <c r="I16" s="2"/>
    </row>
    <row r="17" spans="1:9" x14ac:dyDescent="0.25">
      <c r="A17" s="3">
        <v>3</v>
      </c>
      <c r="B17" s="3" t="s">
        <v>17</v>
      </c>
      <c r="C17" s="3">
        <f>COUNTA('Infrastructure and Systems'!$C$88:$O$88)</f>
        <v>13</v>
      </c>
      <c r="D17" s="17" t="e">
        <f>COUNTIF('Chaipro-SAP'!#REF!,"2.8.0.0")*1+COUNTIF('Chaipro-SAP'!#REF!,"Other version Working")*0.8+COUNTIF('Chaipro-SAP'!#REF!,"2.8.0.0 With Issues")*0.6+COUNTIF('Chaipro-SAP'!#REF!,"Other version With Issues")*0.4 + COUNTIF('Chaipro-SAP'!#REF!,"None")*0.25</f>
        <v>#REF!</v>
      </c>
      <c r="E17" s="13" t="e">
        <f t="shared" si="0"/>
        <v>#REF!</v>
      </c>
      <c r="F17" s="12"/>
      <c r="G17" s="12"/>
      <c r="H17" s="2"/>
      <c r="I17" s="2"/>
    </row>
    <row r="18" spans="1:9" x14ac:dyDescent="0.25">
      <c r="A18" s="3">
        <v>4</v>
      </c>
      <c r="B18" s="3" t="s">
        <v>18</v>
      </c>
      <c r="C18" s="3">
        <f>COUNTA('Infrastructure and Systems'!$C$88:$O$88)</f>
        <v>13</v>
      </c>
      <c r="D18" s="17" t="e">
        <f>COUNTIF('Chaipro-SAP'!#REF!,"3.2.5.1")*1+COUNTIF('Chaipro-SAP'!#REF!,"SAP")*1+COUNTIF('Chaipro-SAP'!#REF!,"Other version Working")*0.8+COUNTIF('Chaipro-SAP'!#REF!,"3.2.5.1 With Issues")*0.6+COUNTIF('Chaipro-SAP'!#REF!,"Other version With Issues")*0.4 + COUNTIF('Chaipro-SAP'!#REF!,"None")*0.25</f>
        <v>#REF!</v>
      </c>
      <c r="E18" s="13" t="e">
        <f t="shared" si="0"/>
        <v>#REF!</v>
      </c>
      <c r="F18" s="2"/>
      <c r="G18" s="2"/>
      <c r="H18" s="2"/>
      <c r="I18" s="2"/>
    </row>
    <row r="19" spans="1:9" x14ac:dyDescent="0.25">
      <c r="A19" s="3">
        <v>6</v>
      </c>
      <c r="B19" s="3" t="s">
        <v>19</v>
      </c>
      <c r="C19" s="3">
        <f>COUNTA('Infrastructure and Systems'!$C$88:$O$88)</f>
        <v>13</v>
      </c>
      <c r="D19" s="17" t="e">
        <f>COUNTIF('Chaipro-SAP'!#REF!,"Working")*1+COUNTIF('Chaipro-SAP'!#REF!,"Working With Issues")*0.5</f>
        <v>#REF!</v>
      </c>
      <c r="E19" s="13" t="e">
        <f t="shared" si="0"/>
        <v>#REF!</v>
      </c>
      <c r="F19" s="2"/>
      <c r="G19" s="2"/>
      <c r="H19" s="2"/>
      <c r="I19" s="2"/>
    </row>
    <row r="20" spans="1:9" x14ac:dyDescent="0.25">
      <c r="A20" s="3">
        <v>7</v>
      </c>
      <c r="B20" s="3" t="s">
        <v>20</v>
      </c>
      <c r="C20" s="3">
        <f>COUNTA('Infrastructure and Systems'!$C$88:$O$88)</f>
        <v>13</v>
      </c>
      <c r="D20" s="17" t="e">
        <f>COUNTIF('Chaipro-SAP'!#REF!,"1.0.0.3")*1+COUNTIF('Chaipro-SAP'!#REF!,"Other version Working")*0.8+COUNTIF('Chaipro-SAP'!#REF!,"1.0.0.3 With Issues")*0.6+COUNTIF('Chaipro-SAP'!#REF!,"Other version With Issues")*0.4 + COUNTIF('Chaipro-SAP'!#REF!,"None")*0.25</f>
        <v>#REF!</v>
      </c>
      <c r="E20" s="13" t="e">
        <f t="shared" si="0"/>
        <v>#REF!</v>
      </c>
      <c r="F20" s="2"/>
      <c r="G20" s="2"/>
      <c r="H20" s="2"/>
      <c r="I20" s="2"/>
    </row>
    <row r="21" spans="1:9" x14ac:dyDescent="0.25">
      <c r="A21" s="3">
        <v>8</v>
      </c>
      <c r="B21" s="3" t="s">
        <v>21</v>
      </c>
      <c r="C21" s="3">
        <f>COUNTA('Infrastructure and Systems'!$C$88:$O$88)</f>
        <v>13</v>
      </c>
      <c r="D21" s="17" t="e">
        <f>COUNTIF('Chaipro-SAP'!#REF!,"2.2")*1+COUNTIF('Chaipro-SAP'!#REF!,"Other version Working")*0.8+COUNTIF('Chaipro-SAP'!#REF!,"2.2 With Issues")*0.6+COUNTIF('Chaipro-SAP'!#REF!,"Other version With Issues")*0.4 + COUNTIF('Chaipro-SAP'!#REF!,"None")*0.25</f>
        <v>#REF!</v>
      </c>
      <c r="E21" s="13" t="e">
        <f t="shared" si="0"/>
        <v>#REF!</v>
      </c>
      <c r="F21" s="2"/>
      <c r="G21" s="12"/>
      <c r="H21" s="2"/>
      <c r="I21" s="2"/>
    </row>
    <row r="22" spans="1:9" x14ac:dyDescent="0.25">
      <c r="A22" s="2"/>
      <c r="B22" s="1" t="s">
        <v>29</v>
      </c>
      <c r="C22" s="1"/>
      <c r="D22" s="1"/>
      <c r="E22" s="37" t="e">
        <f>AVERAGE(E15:E21)</f>
        <v>#REF!</v>
      </c>
      <c r="F22" s="2"/>
      <c r="G22" s="2"/>
      <c r="H22" s="2"/>
      <c r="I22" s="2"/>
    </row>
    <row r="23" spans="1:9" x14ac:dyDescent="0.25">
      <c r="B23" s="8"/>
      <c r="C23" s="8"/>
      <c r="D23" s="8"/>
      <c r="E23" s="9"/>
    </row>
    <row r="24" spans="1:9" ht="13.8" x14ac:dyDescent="0.25">
      <c r="B24" s="10" t="s">
        <v>42</v>
      </c>
    </row>
    <row r="25" spans="1:9" ht="26.4" x14ac:dyDescent="0.25">
      <c r="A25" s="5" t="s">
        <v>34</v>
      </c>
      <c r="B25" s="5" t="s">
        <v>33</v>
      </c>
      <c r="C25" s="6" t="s">
        <v>28</v>
      </c>
      <c r="D25" s="6" t="s">
        <v>27</v>
      </c>
      <c r="E25" s="6" t="s">
        <v>32</v>
      </c>
      <c r="F25" s="6" t="s">
        <v>31</v>
      </c>
      <c r="G25" s="5" t="s">
        <v>30</v>
      </c>
      <c r="H25" s="5"/>
      <c r="I25" s="5"/>
    </row>
    <row r="26" spans="1:9" ht="15.6" x14ac:dyDescent="0.3">
      <c r="A26" s="3">
        <v>1</v>
      </c>
      <c r="B26" s="3" t="s">
        <v>22</v>
      </c>
      <c r="C26" s="3">
        <f>COUNTA('ICT Inventory'!#REF!)</f>
        <v>1</v>
      </c>
      <c r="D26" s="17" t="e">
        <f>COUNTIF('ICT Inventory'!#REF!,"No Issue Reported")+COUNTIF('ICT Inventory'!#REF!,"Partially Working")*0.7+COUNTIF('ICT Inventory'!#REF!,"Total Failure")*0.3</f>
        <v>#REF!</v>
      </c>
      <c r="E26" s="13" t="e">
        <f>D26/C26</f>
        <v>#REF!</v>
      </c>
      <c r="F26" s="2"/>
      <c r="G26" s="2"/>
      <c r="H26" s="2"/>
      <c r="I26" s="2"/>
    </row>
    <row r="27" spans="1:9" ht="13.8" x14ac:dyDescent="0.3">
      <c r="A27" s="3">
        <v>2</v>
      </c>
      <c r="B27" s="3" t="s">
        <v>23</v>
      </c>
      <c r="C27" s="3">
        <f>COUNTA('ICT Inventory'!#REF!)</f>
        <v>1</v>
      </c>
      <c r="D27" s="17" t="e">
        <f>COUNTIF('ICT Inventory'!#REF!,"No Issue Reported")+COUNTIF('ICT Inventory'!#REF!,"Partially Working")*0.7+COUNTIF('ICT Inventory'!#REF!,"Total Failure")*0.3</f>
        <v>#REF!</v>
      </c>
      <c r="E27" s="13" t="e">
        <f>D27/C27</f>
        <v>#REF!</v>
      </c>
      <c r="F27" s="2"/>
      <c r="G27" s="2"/>
      <c r="H27" s="2"/>
      <c r="I27" s="2"/>
    </row>
    <row r="28" spans="1:9" ht="27.6" x14ac:dyDescent="0.3">
      <c r="A28" s="3">
        <v>3</v>
      </c>
      <c r="B28" s="11" t="s">
        <v>24</v>
      </c>
      <c r="C28" s="3">
        <f>COUNTA('ICT Inventory'!#REF!)</f>
        <v>1</v>
      </c>
      <c r="D28" s="17" t="e">
        <f>COUNTIF('ICT Inventory'!#REF!,"No Issue Reported")+COUNTIF('ICT Inventory'!#REF!,"Partially Working")*0.7+COUNTIF('ICT Inventory'!#REF!,"Total Failure")*0.3</f>
        <v>#REF!</v>
      </c>
      <c r="E28" s="13" t="e">
        <f>D28/C28</f>
        <v>#REF!</v>
      </c>
      <c r="F28" s="2"/>
      <c r="G28" s="2"/>
      <c r="H28" s="2"/>
      <c r="I28" s="2"/>
    </row>
    <row r="29" spans="1:9" ht="14.4" x14ac:dyDescent="0.3">
      <c r="A29" s="3">
        <v>4</v>
      </c>
      <c r="B29" s="3" t="s">
        <v>25</v>
      </c>
      <c r="C29" s="3">
        <f>COUNTA('ICT Inventory'!#REF!)</f>
        <v>1</v>
      </c>
      <c r="D29" s="17" t="e">
        <f>COUNTIF('ICT Inventory'!#REF!,"No Issue Reported")+COUNTIF('ICT Inventory'!#REF!,"Partially Working")*0.7+COUNTIF('ICT Inventory'!#REF!,"Total Failure")*0.3</f>
        <v>#REF!</v>
      </c>
      <c r="E29" s="13" t="e">
        <f>D29/C29</f>
        <v>#REF!</v>
      </c>
      <c r="F29" s="2"/>
      <c r="G29" s="2"/>
      <c r="H29" s="2"/>
      <c r="I29" s="2"/>
    </row>
    <row r="30" spans="1:9" x14ac:dyDescent="0.25">
      <c r="A30" s="2"/>
      <c r="B30" s="1" t="s">
        <v>29</v>
      </c>
      <c r="C30" s="1"/>
      <c r="D30" s="1"/>
      <c r="E30" s="37" t="e">
        <f>AVERAGE(E26:E29)</f>
        <v>#REF!</v>
      </c>
      <c r="F30" s="2"/>
      <c r="G30" s="2"/>
      <c r="H30" s="2"/>
      <c r="I30" s="2"/>
    </row>
    <row r="31" spans="1:9" x14ac:dyDescent="0.25">
      <c r="A31" s="7"/>
      <c r="B31" s="7"/>
      <c r="C31" s="7"/>
      <c r="E31" s="14"/>
    </row>
    <row r="32" spans="1:9" ht="13.8" x14ac:dyDescent="0.25">
      <c r="B32" s="10" t="s">
        <v>41</v>
      </c>
    </row>
    <row r="33" spans="1:9" ht="26.4" x14ac:dyDescent="0.25">
      <c r="A33" s="5" t="s">
        <v>34</v>
      </c>
      <c r="B33" s="5" t="s">
        <v>33</v>
      </c>
      <c r="C33" s="6" t="s">
        <v>28</v>
      </c>
      <c r="D33" s="6" t="s">
        <v>27</v>
      </c>
      <c r="E33" s="6" t="s">
        <v>32</v>
      </c>
      <c r="F33" s="6" t="s">
        <v>31</v>
      </c>
      <c r="G33" s="5" t="s">
        <v>30</v>
      </c>
      <c r="H33" s="5"/>
      <c r="I33" s="5"/>
    </row>
    <row r="34" spans="1:9" x14ac:dyDescent="0.25">
      <c r="A34" s="3">
        <v>1</v>
      </c>
      <c r="B34" s="3" t="s">
        <v>26</v>
      </c>
      <c r="C34" s="3">
        <f>COUNTA(BCP!#REF!)</f>
        <v>1</v>
      </c>
      <c r="D34" s="2" t="e">
        <f>COUNTIF(BCP!#REF!,"Offsite &amp; Schedule backups in place")</f>
        <v>#REF!</v>
      </c>
      <c r="E34" s="13" t="e">
        <f>D34/C34</f>
        <v>#REF!</v>
      </c>
      <c r="F34" s="2"/>
      <c r="G34" s="2"/>
      <c r="H34" s="2"/>
      <c r="I34" s="2"/>
    </row>
    <row r="35" spans="1:9" x14ac:dyDescent="0.25">
      <c r="A35" s="2"/>
      <c r="B35" s="1" t="s">
        <v>29</v>
      </c>
      <c r="C35" s="1"/>
      <c r="D35" s="1"/>
      <c r="E35" s="37" t="e">
        <f>AVERAGE(E34)</f>
        <v>#REF!</v>
      </c>
      <c r="F35" s="2"/>
      <c r="G35" s="2"/>
      <c r="H35" s="2"/>
      <c r="I35" s="2"/>
    </row>
    <row r="38" spans="1:9" ht="13.8" x14ac:dyDescent="0.25">
      <c r="B38" s="10" t="s">
        <v>48</v>
      </c>
    </row>
    <row r="39" spans="1:9" ht="26.4" x14ac:dyDescent="0.25">
      <c r="A39" s="5" t="s">
        <v>34</v>
      </c>
      <c r="B39" s="5" t="s">
        <v>33</v>
      </c>
      <c r="C39" s="6" t="s">
        <v>28</v>
      </c>
      <c r="D39" s="6" t="s">
        <v>67</v>
      </c>
      <c r="E39" s="6" t="s">
        <v>50</v>
      </c>
      <c r="F39" s="6" t="s">
        <v>31</v>
      </c>
      <c r="G39" s="5" t="s">
        <v>30</v>
      </c>
      <c r="H39" s="5"/>
      <c r="I39" s="5"/>
    </row>
    <row r="40" spans="1:9" x14ac:dyDescent="0.25">
      <c r="A40" s="3">
        <v>1</v>
      </c>
      <c r="B40" s="3" t="s">
        <v>49</v>
      </c>
      <c r="C40" s="3">
        <f>COUNTA('ICT Cost'!#REF!)</f>
        <v>1</v>
      </c>
      <c r="D40" s="38" t="e">
        <f>'ICT Cost'!#REF!</f>
        <v>#REF!</v>
      </c>
      <c r="E40" s="15"/>
      <c r="F40" s="12"/>
      <c r="G40" s="2"/>
      <c r="H40" s="2"/>
      <c r="I40" s="2"/>
    </row>
    <row r="41" spans="1:9" x14ac:dyDescent="0.25">
      <c r="A41" s="2"/>
      <c r="B41" s="1" t="s">
        <v>29</v>
      </c>
      <c r="C41" s="1"/>
      <c r="D41" s="1"/>
      <c r="E41" s="4"/>
      <c r="F41" s="2"/>
      <c r="G41" s="2"/>
      <c r="H41" s="2"/>
      <c r="I41" s="2"/>
    </row>
  </sheetData>
  <phoneticPr fontId="3" type="noConversion"/>
  <pageMargins left="0.75" right="0.75" top="1" bottom="1" header="0.5" footer="0.5"/>
  <pageSetup paperSize="9" orientation="portrait" horizontalDpi="300" verticalDpi="4294967295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I41"/>
  <sheetViews>
    <sheetView workbookViewId="0">
      <selection activeCell="D4" sqref="D4"/>
    </sheetView>
  </sheetViews>
  <sheetFormatPr defaultRowHeight="13.2" x14ac:dyDescent="0.25"/>
  <cols>
    <col min="1" max="1" width="4" bestFit="1" customWidth="1"/>
    <col min="2" max="2" width="62.33203125" customWidth="1"/>
    <col min="3" max="3" width="9.5546875" bestFit="1" customWidth="1"/>
    <col min="4" max="4" width="11.44140625" customWidth="1"/>
    <col min="5" max="5" width="12.6640625" bestFit="1" customWidth="1"/>
    <col min="6" max="6" width="19" customWidth="1"/>
    <col min="7" max="7" width="12.44140625" bestFit="1" customWidth="1"/>
  </cols>
  <sheetData>
    <row r="1" spans="1:9" x14ac:dyDescent="0.25">
      <c r="B1" s="8" t="s">
        <v>132</v>
      </c>
    </row>
    <row r="2" spans="1:9" ht="13.8" x14ac:dyDescent="0.25">
      <c r="B2" s="10" t="s">
        <v>39</v>
      </c>
    </row>
    <row r="3" spans="1:9" ht="26.4" x14ac:dyDescent="0.25">
      <c r="A3" s="5" t="str">
        <f>'Infrastructure and Systems'!A3</f>
        <v>No.</v>
      </c>
      <c r="B3" s="5" t="s">
        <v>33</v>
      </c>
      <c r="C3" s="6" t="s">
        <v>28</v>
      </c>
      <c r="D3" s="6" t="s">
        <v>132</v>
      </c>
      <c r="E3" s="6" t="s">
        <v>32</v>
      </c>
      <c r="F3" s="6" t="s">
        <v>35</v>
      </c>
      <c r="G3" s="6" t="s">
        <v>36</v>
      </c>
      <c r="H3" s="6" t="s">
        <v>37</v>
      </c>
      <c r="I3" s="6" t="s">
        <v>38</v>
      </c>
    </row>
    <row r="4" spans="1:9" x14ac:dyDescent="0.25">
      <c r="A4" s="3">
        <f>'Infrastructure and Systems'!A4</f>
        <v>1</v>
      </c>
      <c r="B4" s="3" t="str">
        <f>'Infrastructure and Systems'!B4</f>
        <v>Local Area Network (LAN)</v>
      </c>
      <c r="C4" s="3">
        <f>COUNTA('Infrastructure and Systems'!$C$106:$F$106)</f>
        <v>4</v>
      </c>
      <c r="D4" s="17">
        <f>COUNTIF('Infrastructure and Systems'!C106:F106,"No Issue Reported")+COUNTIF('Infrastructure and Systems'!C89:O89,"Partially Working")*0.7+COUNTIF('Infrastructure and Systems'!C89:O89,"Total Failure")*0.3</f>
        <v>0</v>
      </c>
      <c r="E4" s="13">
        <f>D4/C4</f>
        <v>0</v>
      </c>
      <c r="F4" s="2"/>
      <c r="G4" s="6"/>
      <c r="H4" s="6"/>
      <c r="I4" s="6"/>
    </row>
    <row r="5" spans="1:9" x14ac:dyDescent="0.25">
      <c r="A5" s="3">
        <f>'Infrastructure and Systems'!A5</f>
        <v>2</v>
      </c>
      <c r="B5" s="3" t="str">
        <f>'Infrastructure and Systems'!B5</f>
        <v>Wide Area Network (WAN)</v>
      </c>
      <c r="C5" s="3">
        <f>COUNTA('Infrastructure and Systems'!$C$106:$F$106)</f>
        <v>4</v>
      </c>
      <c r="D5" s="17">
        <f>COUNTIF('Infrastructure and Systems'!C107:F107,"No Issue Reported")+COUNTIF('Infrastructure and Systems'!C90:O90,"Partially Working")*0.7+COUNTIF('Infrastructure and Systems'!C90:O90,"Total Failure")*0.3</f>
        <v>0</v>
      </c>
      <c r="E5" s="13">
        <f>D5/C5</f>
        <v>0</v>
      </c>
      <c r="F5" s="2"/>
      <c r="G5" s="12"/>
      <c r="H5" s="2"/>
      <c r="I5" s="2"/>
    </row>
    <row r="6" spans="1:9" x14ac:dyDescent="0.25">
      <c r="A6" s="3">
        <f>'Infrastructure and Systems'!A7</f>
        <v>4</v>
      </c>
      <c r="B6" s="3" t="str">
        <f>'Infrastructure and Systems'!B7</f>
        <v>Firewall</v>
      </c>
      <c r="C6" s="3">
        <f>COUNTA('Infrastructure and Systems'!$C$106:$F$106)</f>
        <v>4</v>
      </c>
      <c r="D6" s="17">
        <f>COUNTIF('Infrastructure and Systems'!C108:F108,"No Issue Reported")+COUNTIF('Infrastructure and Systems'!C91:O91,"Partially Working")*0.7+COUNTIF('Infrastructure and Systems'!C91:O91,"Total Failure")*0.3</f>
        <v>0</v>
      </c>
      <c r="E6" s="13">
        <f>IF('Infrastructure and Systems'!C7="Internet slow even sometimes not available",(D6/C6)/2,(D6/C6))</f>
        <v>0</v>
      </c>
      <c r="F6" s="2"/>
      <c r="G6" s="12"/>
      <c r="H6" s="2"/>
      <c r="I6" s="2"/>
    </row>
    <row r="7" spans="1:9" x14ac:dyDescent="0.25">
      <c r="A7" s="3">
        <f>'Infrastructure and Systems'!A8</f>
        <v>5</v>
      </c>
      <c r="B7" s="3" t="str">
        <f>'Infrastructure and Systems'!B8</f>
        <v>E-Mail Server</v>
      </c>
      <c r="C7" s="3">
        <f>COUNTA('Infrastructure and Systems'!$C$106:$F$106)</f>
        <v>4</v>
      </c>
      <c r="D7">
        <v>4</v>
      </c>
      <c r="E7" s="13">
        <f>D7/C7</f>
        <v>1</v>
      </c>
      <c r="F7" s="12"/>
      <c r="G7" s="12"/>
      <c r="H7" s="2"/>
      <c r="I7" s="2"/>
    </row>
    <row r="8" spans="1:9" x14ac:dyDescent="0.25">
      <c r="A8" s="3">
        <f>'Infrastructure and Systems'!A9</f>
        <v>6</v>
      </c>
      <c r="B8" s="3" t="str">
        <f>'Infrastructure and Systems'!B9</f>
        <v>Business Servers (EWS, Chaipro)</v>
      </c>
      <c r="C8" s="3">
        <f>COUNTA('Infrastructure and Systems'!$C$106:$F$106)</f>
        <v>4</v>
      </c>
      <c r="D8" s="17">
        <f>COUNTIF('Infrastructure and Systems'!C110:F110,"No Issue Reported")+COUNTIF('Infrastructure and Systems'!C93:O93,"Partially Working")*0.7+COUNTIF('Infrastructure and Systems'!C93:O93,"Total Failure")*0.3</f>
        <v>0</v>
      </c>
      <c r="E8" s="13">
        <f>D8/C8</f>
        <v>0</v>
      </c>
      <c r="F8" s="2"/>
      <c r="G8" s="2"/>
      <c r="H8" s="2"/>
      <c r="I8" s="2"/>
    </row>
    <row r="9" spans="1:9" x14ac:dyDescent="0.25">
      <c r="A9" s="3">
        <f>'Infrastructure and Systems'!A10</f>
        <v>7</v>
      </c>
      <c r="B9" s="3" t="str">
        <f>'Infrastructure and Systems'!B10</f>
        <v>Electronic Weighment Solution (EWS Version)</v>
      </c>
      <c r="C9" s="3">
        <f>COUNTA('Infrastructure and Systems'!$C$106:$F$106)</f>
        <v>4</v>
      </c>
      <c r="D9" s="17">
        <f>COUNTIF('Infrastructure and Systems'!C111:F111,"No Issue Reported")+COUNTIF('Infrastructure and Systems'!C94:O94,"Partially Working")*0.7+COUNTIF('Infrastructure and Systems'!C94:O94,"Total Failure")*0.3</f>
        <v>0</v>
      </c>
      <c r="E9" s="13">
        <f>D9/C9</f>
        <v>0</v>
      </c>
      <c r="F9" s="2"/>
      <c r="G9" s="12"/>
      <c r="H9" s="2"/>
      <c r="I9" s="2"/>
    </row>
    <row r="10" spans="1:9" x14ac:dyDescent="0.25">
      <c r="A10" s="3" t="e">
        <f>'Infrastructure and Systems'!#REF!</f>
        <v>#REF!</v>
      </c>
      <c r="B10" s="3" t="e">
        <f>'Infrastructure and Systems'!#REF!</f>
        <v>#REF!</v>
      </c>
      <c r="C10" s="3">
        <f>COUNTA('Infrastructure and Systems'!$C$106:$F$106)</f>
        <v>4</v>
      </c>
      <c r="D10" s="17">
        <f>COUNTIF('Infrastructure and Systems'!C112:F112,"No Issue Reported")+COUNTIF('Infrastructure and Systems'!C95:O95,"Partially Working")*0.7+COUNTIF('Infrastructure and Systems'!C95:O95,"Total Failure")*0.3</f>
        <v>0</v>
      </c>
      <c r="E10" s="13">
        <f>D10/C10</f>
        <v>0</v>
      </c>
      <c r="F10" s="12"/>
      <c r="G10" s="2"/>
      <c r="H10" s="2"/>
      <c r="I10" s="2"/>
    </row>
    <row r="11" spans="1:9" x14ac:dyDescent="0.25">
      <c r="A11" s="2"/>
      <c r="B11" s="1" t="s">
        <v>29</v>
      </c>
      <c r="C11" s="1"/>
      <c r="D11" s="1"/>
      <c r="E11" s="37">
        <f>AVERAGE(E4:E10)</f>
        <v>0.14285714285714285</v>
      </c>
      <c r="F11" s="2"/>
      <c r="G11" s="2"/>
      <c r="H11" s="2"/>
      <c r="I11" s="2"/>
    </row>
    <row r="12" spans="1:9" x14ac:dyDescent="0.25">
      <c r="B12" s="8"/>
      <c r="C12" s="8"/>
      <c r="D12" s="8"/>
      <c r="E12" s="9"/>
    </row>
    <row r="13" spans="1:9" ht="13.8" x14ac:dyDescent="0.25">
      <c r="B13" s="10" t="s">
        <v>40</v>
      </c>
    </row>
    <row r="14" spans="1:9" ht="26.4" x14ac:dyDescent="0.25">
      <c r="A14" s="5" t="s">
        <v>34</v>
      </c>
      <c r="B14" s="5" t="s">
        <v>33</v>
      </c>
      <c r="C14" s="6" t="s">
        <v>28</v>
      </c>
      <c r="D14" s="6" t="s">
        <v>132</v>
      </c>
      <c r="E14" s="6" t="s">
        <v>32</v>
      </c>
      <c r="F14" s="6" t="s">
        <v>31</v>
      </c>
      <c r="G14" s="5" t="s">
        <v>30</v>
      </c>
      <c r="H14" s="5"/>
      <c r="I14" s="5"/>
    </row>
    <row r="15" spans="1:9" ht="12.75" customHeight="1" x14ac:dyDescent="0.25">
      <c r="A15" s="3">
        <v>1</v>
      </c>
      <c r="B15" s="3" t="s">
        <v>15</v>
      </c>
      <c r="C15" s="3">
        <f>COUNTA('Chaipro-SAP'!#REF!)</f>
        <v>1</v>
      </c>
      <c r="D15" s="17" t="e">
        <f>COUNTIF('Chaipro-SAP'!#REF!,"2.5.5.9")*1+COUNTIF('Chaipro-SAP'!#REF!,"SAP")*1+COUNTIF('Chaipro-SAP'!#REF!,"Other version Working")*0.8+COUNTIF('Chaipro-SAP'!#REF!,"2.5.5.7 With Issues")*0.6+COUNTIF('Chaipro-SAP'!#REF!,"Other version With Issues")*0.4 + COUNTIF('Chaipro-SAP'!#REF!,"None")*0.25</f>
        <v>#REF!</v>
      </c>
      <c r="E15" s="13" t="e">
        <f t="shared" ref="E15:E21" si="0">D15/C15</f>
        <v>#REF!</v>
      </c>
      <c r="F15" s="2"/>
      <c r="G15" s="2"/>
      <c r="H15" s="2"/>
      <c r="I15" s="2"/>
    </row>
    <row r="16" spans="1:9" ht="13.5" customHeight="1" x14ac:dyDescent="0.25">
      <c r="A16" s="3">
        <v>2</v>
      </c>
      <c r="B16" s="3" t="s">
        <v>16</v>
      </c>
      <c r="C16" s="3">
        <f>COUNTA('Chaipro-SAP'!#REF!)</f>
        <v>1</v>
      </c>
      <c r="D16" s="17" t="e">
        <f>COUNTIF('Chaipro-SAP'!#REF!,"2.5.2.7")*1+COUNTIF('Chaipro-SAP'!#REF!,"SAP")*1++COUNTIF('Chaipro-SAP'!#REF!,"Other version Working")*0.8+COUNTIF('Chaipro-SAP'!#REF!,"2.5.2.5 With Issues")*0.6+COUNTIF('Chaipro-SAP'!#REF!,"Other version With Issues")*0.4 + COUNTIF('Chaipro-SAP'!#REF!,"None")*0.25</f>
        <v>#REF!</v>
      </c>
      <c r="E16" s="13" t="e">
        <f t="shared" si="0"/>
        <v>#REF!</v>
      </c>
      <c r="F16" s="2"/>
      <c r="G16" s="2"/>
      <c r="H16" s="2"/>
      <c r="I16" s="2"/>
    </row>
    <row r="17" spans="1:9" x14ac:dyDescent="0.25">
      <c r="A17" s="3">
        <v>3</v>
      </c>
      <c r="B17" s="3" t="s">
        <v>17</v>
      </c>
      <c r="C17" s="3">
        <f>COUNTA('Chaipro-SAP'!#REF!)</f>
        <v>1</v>
      </c>
      <c r="D17" s="17" t="e">
        <f>COUNTIF('Chaipro-SAP'!#REF!,"3.0.0.0")*1+COUNTIF('Chaipro-SAP'!#REF!,"2.8.0.0")*1+COUNTIF('Chaipro-SAP'!#REF!,"Other version Working")*0.8+COUNTIF('Chaipro-SAP'!#REF!,"2.8.0.0 With Issues")*0.6+COUNTIF('Chaipro-SAP'!#REF!,"Other version With Issues")*0.4 + COUNTIF('Chaipro-SAP'!#REF!,"None")*0.25</f>
        <v>#REF!</v>
      </c>
      <c r="E17" s="13" t="e">
        <f t="shared" si="0"/>
        <v>#REF!</v>
      </c>
      <c r="F17" s="12"/>
      <c r="G17" s="12"/>
      <c r="H17" s="2"/>
      <c r="I17" s="2"/>
    </row>
    <row r="18" spans="1:9" x14ac:dyDescent="0.25">
      <c r="A18" s="3">
        <v>4</v>
      </c>
      <c r="B18" s="3" t="s">
        <v>18</v>
      </c>
      <c r="C18" s="3">
        <f>COUNTA('Chaipro-SAP'!#REF!)</f>
        <v>1</v>
      </c>
      <c r="D18" s="17" t="e">
        <f>COUNTIF('Chaipro-SAP'!#REF!,"3.2.5.1")*1+COUNTIF('Chaipro-SAP'!#REF!,"SAP")*1+COUNTIF('Chaipro-SAP'!#REF!,"Other version Working")*0.8+COUNTIF('Chaipro-SAP'!#REF!,"3.2.5.1 With Issues")*0.6+COUNTIF('Chaipro-SAP'!#REF!,"Other version With Issues")*0.4 + COUNTIF('Chaipro-SAP'!#REF!,"None")*0.25</f>
        <v>#REF!</v>
      </c>
      <c r="E18" s="13" t="e">
        <f t="shared" si="0"/>
        <v>#REF!</v>
      </c>
      <c r="F18" s="2"/>
      <c r="G18" s="2"/>
      <c r="H18" s="2"/>
      <c r="I18" s="2"/>
    </row>
    <row r="19" spans="1:9" x14ac:dyDescent="0.25">
      <c r="A19" s="3">
        <v>6</v>
      </c>
      <c r="B19" s="3" t="s">
        <v>19</v>
      </c>
      <c r="C19" s="3">
        <f>COUNTA('Chaipro-SAP'!#REF!)</f>
        <v>1</v>
      </c>
      <c r="D19" s="17" t="e">
        <f>COUNTIF('Chaipro-SAP'!#REF!,"Working")*1+COUNTIF('Chaipro-SAP'!#REF!,"Working With Issues")*0.5</f>
        <v>#REF!</v>
      </c>
      <c r="E19" s="13" t="e">
        <f t="shared" si="0"/>
        <v>#REF!</v>
      </c>
      <c r="F19" s="2"/>
      <c r="G19" s="2"/>
      <c r="H19" s="2"/>
      <c r="I19" s="2"/>
    </row>
    <row r="20" spans="1:9" x14ac:dyDescent="0.25">
      <c r="A20" s="3">
        <v>7</v>
      </c>
      <c r="B20" s="3" t="s">
        <v>20</v>
      </c>
      <c r="C20" s="3">
        <f>COUNTA('Chaipro-SAP'!#REF!)</f>
        <v>1</v>
      </c>
      <c r="D20" s="17" t="e">
        <f>COUNTIF('Chaipro-SAP'!#REF!,"1.0.0.3")*1+COUNTIF('Chaipro-SAP'!#REF!,"Other version Working")*0.8+COUNTIF('Chaipro-SAP'!#REF!,"1.0.0.3 With Issues")*0.6+COUNTIF('Chaipro-SAP'!#REF!,"Other version With Issues")*0.4 + COUNTIF('Chaipro-SAP'!#REF!,"None")*0.25</f>
        <v>#REF!</v>
      </c>
      <c r="E20" s="13" t="e">
        <f t="shared" si="0"/>
        <v>#REF!</v>
      </c>
      <c r="F20" s="2"/>
      <c r="G20" s="2"/>
      <c r="H20" s="2"/>
      <c r="I20" s="2"/>
    </row>
    <row r="21" spans="1:9" x14ac:dyDescent="0.25">
      <c r="A21" s="3">
        <v>8</v>
      </c>
      <c r="B21" s="3" t="s">
        <v>21</v>
      </c>
      <c r="C21" s="3">
        <f>COUNTA('Chaipro-SAP'!#REF!)</f>
        <v>1</v>
      </c>
      <c r="D21" s="17" t="e">
        <f>COUNTIF('Chaipro-SAP'!#REF!,"2.2")*1+COUNTIF('Chaipro-SAP'!#REF!,"Other version Working")*0.8+COUNTIF('Chaipro-SAP'!#REF!,"2.2 With Issues")*0.6+COUNTIF('Chaipro-SAP'!#REF!,"Other version With Issues")*0.4 + COUNTIF('Chaipro-SAP'!#REF!,"None")*0.25</f>
        <v>#REF!</v>
      </c>
      <c r="E21" s="13" t="e">
        <f t="shared" si="0"/>
        <v>#REF!</v>
      </c>
      <c r="F21" s="2"/>
      <c r="G21" s="12"/>
      <c r="H21" s="2"/>
      <c r="I21" s="2"/>
    </row>
    <row r="22" spans="1:9" x14ac:dyDescent="0.25">
      <c r="A22" s="2"/>
      <c r="B22" s="1" t="s">
        <v>29</v>
      </c>
      <c r="C22" s="1"/>
      <c r="D22" s="1"/>
      <c r="E22" s="37" t="e">
        <f>AVERAGE(E15:E21)</f>
        <v>#REF!</v>
      </c>
      <c r="F22" s="2"/>
      <c r="G22" s="2"/>
      <c r="H22" s="2"/>
      <c r="I22" s="2"/>
    </row>
    <row r="23" spans="1:9" x14ac:dyDescent="0.25">
      <c r="B23" s="8"/>
      <c r="C23" s="8"/>
      <c r="D23" s="8"/>
      <c r="E23" s="9"/>
    </row>
    <row r="24" spans="1:9" ht="13.8" x14ac:dyDescent="0.25">
      <c r="B24" s="10" t="s">
        <v>42</v>
      </c>
    </row>
    <row r="25" spans="1:9" ht="26.4" x14ac:dyDescent="0.25">
      <c r="A25" s="5" t="s">
        <v>34</v>
      </c>
      <c r="B25" s="5" t="s">
        <v>33</v>
      </c>
      <c r="C25" s="6" t="s">
        <v>28</v>
      </c>
      <c r="D25" s="6" t="s">
        <v>132</v>
      </c>
      <c r="E25" s="6" t="s">
        <v>32</v>
      </c>
      <c r="F25" s="6" t="s">
        <v>31</v>
      </c>
      <c r="G25" s="5" t="s">
        <v>30</v>
      </c>
      <c r="H25" s="5"/>
      <c r="I25" s="5"/>
    </row>
    <row r="26" spans="1:9" ht="15.6" x14ac:dyDescent="0.3">
      <c r="A26" s="3">
        <v>1</v>
      </c>
      <c r="B26" s="3" t="s">
        <v>22</v>
      </c>
      <c r="C26" s="3">
        <f>COUNTA('ICT Inventory'!#REF!)</f>
        <v>1</v>
      </c>
      <c r="D26" s="17" t="e">
        <f>COUNTIF('ICT Inventory'!#REF!,"No Issue Reported")+COUNTIF('ICT Inventory'!#REF!,"Partially Working")*0.7+COUNTIF('ICT Inventory'!#REF!,"Total Failure")*0.3</f>
        <v>#REF!</v>
      </c>
      <c r="E26" s="13" t="e">
        <f>D26/C26</f>
        <v>#REF!</v>
      </c>
      <c r="F26" s="2"/>
      <c r="G26" s="2"/>
      <c r="H26" s="2"/>
      <c r="I26" s="2"/>
    </row>
    <row r="27" spans="1:9" ht="13.8" x14ac:dyDescent="0.3">
      <c r="A27" s="3">
        <v>2</v>
      </c>
      <c r="B27" s="3" t="s">
        <v>23</v>
      </c>
      <c r="C27" s="3">
        <f>COUNTA('ICT Inventory'!#REF!)</f>
        <v>1</v>
      </c>
      <c r="D27" s="17" t="e">
        <f>COUNTIF('ICT Inventory'!#REF!,"No Issue Reported")+COUNTIF('ICT Inventory'!#REF!,"Partially Working")*0.7+COUNTIF('ICT Inventory'!#REF!,"Total Failure")*0.3</f>
        <v>#REF!</v>
      </c>
      <c r="E27" s="13" t="e">
        <f>D27/C27</f>
        <v>#REF!</v>
      </c>
      <c r="F27" s="2"/>
      <c r="G27" s="2"/>
      <c r="H27" s="2"/>
      <c r="I27" s="2"/>
    </row>
    <row r="28" spans="1:9" ht="27.6" x14ac:dyDescent="0.3">
      <c r="A28" s="3">
        <v>3</v>
      </c>
      <c r="B28" s="11" t="s">
        <v>24</v>
      </c>
      <c r="C28" s="3">
        <f>COUNTA('ICT Inventory'!#REF!)</f>
        <v>1</v>
      </c>
      <c r="D28" s="17" t="e">
        <f>COUNTIF('ICT Inventory'!#REF!,"No Issue Reported")+COUNTIF('ICT Inventory'!#REF!,"Partially Working")*0.7+COUNTIF('ICT Inventory'!#REF!,"Total Failure")*0.3</f>
        <v>#REF!</v>
      </c>
      <c r="E28" s="13" t="e">
        <f>D28/C28</f>
        <v>#REF!</v>
      </c>
      <c r="F28" s="2"/>
      <c r="G28" s="2"/>
      <c r="H28" s="2"/>
      <c r="I28" s="2"/>
    </row>
    <row r="29" spans="1:9" ht="14.4" x14ac:dyDescent="0.3">
      <c r="A29" s="3">
        <v>4</v>
      </c>
      <c r="B29" s="3" t="s">
        <v>25</v>
      </c>
      <c r="C29" s="3">
        <f>COUNTA('ICT Inventory'!#REF!)</f>
        <v>1</v>
      </c>
      <c r="D29" s="17" t="e">
        <f>COUNTIF('ICT Inventory'!#REF!,"No Issue Reported")+COUNTIF('ICT Inventory'!#REF!,"Partially Working")*0.7+COUNTIF('ICT Inventory'!#REF!,"Total Failure")*0.3</f>
        <v>#REF!</v>
      </c>
      <c r="E29" s="13" t="e">
        <f>D29/C29</f>
        <v>#REF!</v>
      </c>
      <c r="F29" s="2"/>
      <c r="G29" s="2"/>
      <c r="H29" s="2"/>
      <c r="I29" s="2"/>
    </row>
    <row r="30" spans="1:9" x14ac:dyDescent="0.25">
      <c r="A30" s="2"/>
      <c r="B30" s="1" t="s">
        <v>29</v>
      </c>
      <c r="C30" s="1"/>
      <c r="D30" s="1"/>
      <c r="E30" s="37" t="e">
        <f>AVERAGE(E26:E29)</f>
        <v>#REF!</v>
      </c>
      <c r="F30" s="2"/>
      <c r="G30" s="2"/>
      <c r="H30" s="2"/>
      <c r="I30" s="2"/>
    </row>
    <row r="31" spans="1:9" x14ac:dyDescent="0.25">
      <c r="A31" s="7"/>
      <c r="B31" s="7"/>
      <c r="C31" s="7"/>
      <c r="E31" s="14"/>
    </row>
    <row r="32" spans="1:9" ht="13.8" x14ac:dyDescent="0.25">
      <c r="B32" s="10" t="s">
        <v>41</v>
      </c>
    </row>
    <row r="33" spans="1:9" ht="26.4" x14ac:dyDescent="0.25">
      <c r="A33" s="5" t="s">
        <v>34</v>
      </c>
      <c r="B33" s="5" t="s">
        <v>33</v>
      </c>
      <c r="C33" s="6" t="s">
        <v>28</v>
      </c>
      <c r="D33" s="6" t="s">
        <v>132</v>
      </c>
      <c r="E33" s="6" t="s">
        <v>32</v>
      </c>
      <c r="F33" s="6" t="s">
        <v>31</v>
      </c>
      <c r="G33" s="5" t="s">
        <v>30</v>
      </c>
      <c r="H33" s="5"/>
      <c r="I33" s="5"/>
    </row>
    <row r="34" spans="1:9" x14ac:dyDescent="0.25">
      <c r="A34" s="3">
        <v>1</v>
      </c>
      <c r="B34" s="3" t="s">
        <v>26</v>
      </c>
      <c r="C34" s="3">
        <f>COUNTA(BCP!#REF!)</f>
        <v>1</v>
      </c>
      <c r="D34" s="2" t="e">
        <f>COUNTIF(BCP!#REF!,"Offsite &amp; Schedule backups in place")</f>
        <v>#REF!</v>
      </c>
      <c r="E34" s="13" t="e">
        <f>D34/C34</f>
        <v>#REF!</v>
      </c>
      <c r="F34" s="2"/>
      <c r="G34" s="2"/>
      <c r="H34" s="2"/>
      <c r="I34" s="2"/>
    </row>
    <row r="35" spans="1:9" x14ac:dyDescent="0.25">
      <c r="A35" s="2"/>
      <c r="B35" s="1" t="s">
        <v>29</v>
      </c>
      <c r="C35" s="1"/>
      <c r="D35" s="1"/>
      <c r="E35" s="37" t="e">
        <f>AVERAGE(E34)</f>
        <v>#REF!</v>
      </c>
      <c r="F35" s="2"/>
      <c r="G35" s="2"/>
      <c r="H35" s="2"/>
      <c r="I35" s="2"/>
    </row>
    <row r="38" spans="1:9" ht="13.8" x14ac:dyDescent="0.25">
      <c r="B38" s="10" t="s">
        <v>48</v>
      </c>
    </row>
    <row r="39" spans="1:9" ht="26.4" x14ac:dyDescent="0.25">
      <c r="A39" s="5" t="s">
        <v>34</v>
      </c>
      <c r="B39" s="5" t="s">
        <v>33</v>
      </c>
      <c r="C39" s="6" t="s">
        <v>28</v>
      </c>
      <c r="D39" s="6" t="s">
        <v>67</v>
      </c>
      <c r="E39" s="6" t="s">
        <v>50</v>
      </c>
      <c r="F39" s="6" t="s">
        <v>31</v>
      </c>
      <c r="G39" s="5" t="s">
        <v>30</v>
      </c>
      <c r="H39" s="5"/>
      <c r="I39" s="5"/>
    </row>
    <row r="40" spans="1:9" x14ac:dyDescent="0.25">
      <c r="A40" s="3">
        <v>1</v>
      </c>
      <c r="B40" s="3" t="s">
        <v>49</v>
      </c>
      <c r="C40" s="3">
        <f>COUNTA('ICT Cost'!#REF!)</f>
        <v>1</v>
      </c>
      <c r="D40" s="46">
        <f>'ICT Cost'!F75</f>
        <v>1170132.1399999999</v>
      </c>
      <c r="E40" s="45">
        <f>'ICT Cost'!F76</f>
        <v>0</v>
      </c>
      <c r="F40" s="12"/>
      <c r="G40" s="2"/>
      <c r="H40" s="2"/>
      <c r="I40" s="2"/>
    </row>
    <row r="41" spans="1:9" x14ac:dyDescent="0.25">
      <c r="A41" s="2"/>
      <c r="B41" s="1" t="s">
        <v>29</v>
      </c>
      <c r="C41" s="1"/>
      <c r="D41" s="1"/>
      <c r="E41" s="4"/>
      <c r="F41" s="2"/>
      <c r="G41" s="2"/>
      <c r="H41" s="2"/>
      <c r="I41" s="2"/>
    </row>
  </sheetData>
  <pageMargins left="0.75" right="0.75" top="1" bottom="1" header="0.5" footer="0.5"/>
  <pageSetup paperSize="9" orientation="portrait" horizontalDpi="300" verticalDpi="4294967295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5">
    <pageSetUpPr fitToPage="1"/>
  </sheetPr>
  <dimension ref="A1:N13"/>
  <sheetViews>
    <sheetView view="pageBreakPreview" zoomScaleNormal="100" zoomScaleSheetLayoutView="100" workbookViewId="0">
      <selection activeCell="H14" sqref="H14"/>
    </sheetView>
  </sheetViews>
  <sheetFormatPr defaultColWidth="9.109375" defaultRowHeight="13.2" x14ac:dyDescent="0.25"/>
  <cols>
    <col min="1" max="1" width="31.6640625" style="48" bestFit="1" customWidth="1"/>
    <col min="2" max="2" width="13" style="48" customWidth="1"/>
    <col min="3" max="3" width="10.88671875" style="48" customWidth="1"/>
    <col min="4" max="4" width="14.88671875" style="48" bestFit="1" customWidth="1"/>
    <col min="5" max="5" width="14.6640625" style="48" bestFit="1" customWidth="1"/>
    <col min="6" max="6" width="14.88671875" style="48" bestFit="1" customWidth="1"/>
    <col min="7" max="8" width="13.88671875" style="48" bestFit="1" customWidth="1"/>
    <col min="9" max="9" width="19.6640625" style="48" customWidth="1"/>
    <col min="10" max="16384" width="9.109375" style="48"/>
  </cols>
  <sheetData>
    <row r="1" spans="1:14" ht="13.8" thickBot="1" x14ac:dyDescent="0.3">
      <c r="B1" s="132" t="s">
        <v>52</v>
      </c>
      <c r="H1" s="49">
        <f>'Infrastructure and Systems'!M2</f>
        <v>45930</v>
      </c>
    </row>
    <row r="2" spans="1:14" ht="15.6" thickBot="1" x14ac:dyDescent="0.3">
      <c r="A2" s="133"/>
      <c r="B2" s="134" t="s">
        <v>51</v>
      </c>
      <c r="C2" s="52"/>
      <c r="D2" s="52"/>
      <c r="E2" s="52"/>
      <c r="F2" s="52"/>
      <c r="G2" s="135"/>
      <c r="H2" s="135"/>
      <c r="I2" s="136"/>
    </row>
    <row r="3" spans="1:14" ht="25.8" x14ac:dyDescent="0.25">
      <c r="A3" s="137" t="s">
        <v>33</v>
      </c>
      <c r="B3" s="138" t="s">
        <v>43</v>
      </c>
      <c r="C3" s="138" t="s">
        <v>44</v>
      </c>
      <c r="D3" s="138" t="s">
        <v>45</v>
      </c>
      <c r="E3" s="138" t="s">
        <v>46</v>
      </c>
      <c r="F3" s="138" t="s">
        <v>47</v>
      </c>
      <c r="G3" s="138" t="s">
        <v>27</v>
      </c>
      <c r="H3" s="138" t="s">
        <v>132</v>
      </c>
      <c r="I3" s="139" t="s">
        <v>170</v>
      </c>
    </row>
    <row r="4" spans="1:14" x14ac:dyDescent="0.25">
      <c r="A4" s="140" t="s">
        <v>765</v>
      </c>
      <c r="B4" s="141">
        <v>1</v>
      </c>
      <c r="C4" s="142">
        <v>1</v>
      </c>
      <c r="D4" s="363">
        <v>0.99285714285714288</v>
      </c>
      <c r="E4" s="141">
        <v>1</v>
      </c>
      <c r="F4" s="141">
        <v>0.99795918367346936</v>
      </c>
      <c r="G4" s="141">
        <v>1</v>
      </c>
      <c r="H4" s="141">
        <v>1</v>
      </c>
      <c r="I4" s="143"/>
    </row>
    <row r="5" spans="1:14" x14ac:dyDescent="0.25">
      <c r="A5" s="140" t="str">
        <f>'R1'!B13</f>
        <v>ChaiPro/SAP</v>
      </c>
      <c r="B5" s="141">
        <v>0.98571428571428577</v>
      </c>
      <c r="C5" s="142">
        <v>0.99682539682539684</v>
      </c>
      <c r="D5" s="363">
        <v>1</v>
      </c>
      <c r="E5" s="141">
        <v>1</v>
      </c>
      <c r="F5" s="141">
        <v>1</v>
      </c>
      <c r="G5" s="141">
        <v>1</v>
      </c>
      <c r="H5" s="141">
        <v>1</v>
      </c>
      <c r="I5" s="143"/>
      <c r="N5" s="144"/>
    </row>
    <row r="6" spans="1:14" x14ac:dyDescent="0.25">
      <c r="A6" s="140" t="str">
        <f>'R1'!B24</f>
        <v>Inventory</v>
      </c>
      <c r="B6" s="141">
        <v>1</v>
      </c>
      <c r="C6" s="142">
        <v>1</v>
      </c>
      <c r="D6" s="363">
        <v>1</v>
      </c>
      <c r="E6" s="141">
        <v>1</v>
      </c>
      <c r="F6" s="141">
        <v>1</v>
      </c>
      <c r="G6" s="141">
        <v>1</v>
      </c>
      <c r="H6" s="141">
        <v>1</v>
      </c>
      <c r="I6" s="145"/>
    </row>
    <row r="7" spans="1:14" x14ac:dyDescent="0.25">
      <c r="A7" s="140" t="str">
        <f>'R1'!B32</f>
        <v>BCP</v>
      </c>
      <c r="B7" s="141">
        <v>1</v>
      </c>
      <c r="C7" s="142">
        <v>1</v>
      </c>
      <c r="D7" s="363">
        <v>1</v>
      </c>
      <c r="E7" s="141">
        <v>1</v>
      </c>
      <c r="F7" s="141">
        <v>1</v>
      </c>
      <c r="G7" s="141">
        <v>1</v>
      </c>
      <c r="H7" s="141">
        <v>1</v>
      </c>
      <c r="I7" s="143"/>
    </row>
    <row r="8" spans="1:14" x14ac:dyDescent="0.25">
      <c r="A8" s="369" t="s">
        <v>200</v>
      </c>
      <c r="B8" s="370">
        <f>'ICT Cost'!N8</f>
        <v>6945720.8700000001</v>
      </c>
      <c r="C8" s="370">
        <f>'ICT Cost'!K19</f>
        <v>643526</v>
      </c>
      <c r="D8" s="370">
        <f>'ICT Cost'!P64</f>
        <v>2274787.09</v>
      </c>
      <c r="E8" s="370">
        <f>'ICT Cost'!J42</f>
        <v>2103542.9700000002</v>
      </c>
      <c r="F8" s="370">
        <f>'ICT Cost'!R53</f>
        <v>2894127.93</v>
      </c>
      <c r="G8" s="370">
        <f>'ICT Cost'!P64</f>
        <v>2274787.09</v>
      </c>
      <c r="H8" s="370">
        <f>'ICT Cost'!P64</f>
        <v>2274787.09</v>
      </c>
      <c r="I8" s="143"/>
      <c r="K8" s="146"/>
    </row>
    <row r="9" spans="1:14" s="150" customFormat="1" ht="13.8" x14ac:dyDescent="0.3">
      <c r="A9" s="147" t="s">
        <v>29</v>
      </c>
      <c r="B9" s="148">
        <f t="shared" ref="B9:G9" si="0">AVERAGE(B4:B7)</f>
        <v>0.99642857142857144</v>
      </c>
      <c r="C9" s="142">
        <f t="shared" si="0"/>
        <v>0.99920634920634921</v>
      </c>
      <c r="D9" s="364">
        <f t="shared" si="0"/>
        <v>0.99821428571428572</v>
      </c>
      <c r="E9" s="148">
        <f t="shared" si="0"/>
        <v>1</v>
      </c>
      <c r="F9" s="141">
        <f t="shared" si="0"/>
        <v>0.99948979591836729</v>
      </c>
      <c r="G9" s="148">
        <f t="shared" si="0"/>
        <v>1</v>
      </c>
      <c r="H9" s="148">
        <f>AVERAGE(H4:H7)</f>
        <v>1</v>
      </c>
      <c r="I9" s="149"/>
    </row>
    <row r="10" spans="1:14" s="150" customFormat="1" ht="13.8" x14ac:dyDescent="0.3">
      <c r="A10" s="147" t="s">
        <v>53</v>
      </c>
      <c r="B10" s="151">
        <v>0.99</v>
      </c>
      <c r="C10" s="142">
        <v>0.99</v>
      </c>
      <c r="D10" s="365">
        <v>0.99</v>
      </c>
      <c r="E10" s="151">
        <v>0.99</v>
      </c>
      <c r="F10" s="141">
        <v>0.99</v>
      </c>
      <c r="G10" s="151">
        <v>0.99</v>
      </c>
      <c r="H10" s="151">
        <v>0.99</v>
      </c>
      <c r="I10" s="149"/>
    </row>
    <row r="11" spans="1:14" s="150" customFormat="1" ht="13.8" x14ac:dyDescent="0.3">
      <c r="A11" s="152" t="s">
        <v>100</v>
      </c>
      <c r="B11" s="153">
        <f t="shared" ref="B11:G11" si="1">B9-B10</f>
        <v>6.4285714285714501E-3</v>
      </c>
      <c r="C11" s="142">
        <f t="shared" si="1"/>
        <v>9.2063492063492181E-3</v>
      </c>
      <c r="D11" s="366">
        <f t="shared" si="1"/>
        <v>8.2142857142857295E-3</v>
      </c>
      <c r="E11" s="153">
        <f t="shared" si="1"/>
        <v>1.0000000000000009E-2</v>
      </c>
      <c r="F11" s="141">
        <f t="shared" si="1"/>
        <v>9.4897959183672942E-3</v>
      </c>
      <c r="G11" s="153">
        <f t="shared" si="1"/>
        <v>1.0000000000000009E-2</v>
      </c>
      <c r="H11" s="153">
        <f>H9-H10</f>
        <v>1.0000000000000009E-2</v>
      </c>
      <c r="I11" s="149"/>
    </row>
    <row r="12" spans="1:14" s="159" customFormat="1" ht="11.4" x14ac:dyDescent="0.2">
      <c r="A12" s="154" t="s">
        <v>766</v>
      </c>
      <c r="B12" s="155">
        <f>'ICT Cost'!N8</f>
        <v>6945720.8700000001</v>
      </c>
      <c r="C12" s="156">
        <f>'ICT Cost'!K18</f>
        <v>0</v>
      </c>
      <c r="D12" s="367">
        <f>'ICT Cost'!J31</f>
        <v>0</v>
      </c>
      <c r="E12" s="155">
        <f>'ICT Cost'!J41</f>
        <v>774899</v>
      </c>
      <c r="F12" s="155">
        <f>'ICT Cost'!R53</f>
        <v>2894127.93</v>
      </c>
      <c r="G12" s="157">
        <f>'ICT Cost'!P64</f>
        <v>2274787.09</v>
      </c>
      <c r="H12" s="157">
        <f>'ICT Cost'!F75</f>
        <v>1170132.1399999999</v>
      </c>
      <c r="I12" s="158"/>
    </row>
    <row r="13" spans="1:14" s="150" customFormat="1" ht="13.8" thickBot="1" x14ac:dyDescent="0.35">
      <c r="A13" s="160" t="s">
        <v>767</v>
      </c>
      <c r="B13" s="161">
        <f>'ICT Cost'!N10</f>
        <v>0</v>
      </c>
      <c r="C13" s="162">
        <f>'ICT Cost'!K21</f>
        <v>0</v>
      </c>
      <c r="D13" s="368">
        <f>'ICT Cost'!J33</f>
        <v>153855313</v>
      </c>
      <c r="E13" s="161">
        <f>'ICT Cost'!J44</f>
        <v>110421960</v>
      </c>
      <c r="F13" s="155">
        <f>'ICT Cost'!R55</f>
        <v>348325500</v>
      </c>
      <c r="G13" s="163">
        <f>'ICT Cost'!P66</f>
        <v>41920000</v>
      </c>
      <c r="H13" s="163">
        <f>'ICT Cost'!F77</f>
        <v>57352702</v>
      </c>
      <c r="I13" s="164"/>
    </row>
  </sheetData>
  <phoneticPr fontId="3" type="noConversion"/>
  <conditionalFormatting sqref="H1">
    <cfRule type="containsText" dxfId="3" priority="2" stopIfTrue="1" operator="containsText" text="Exchange in use">
      <formula>NOT(ISERROR(SEARCH("Exchange in use",H1)))</formula>
    </cfRule>
    <cfRule type="containsText" dxfId="2" priority="3" stopIfTrue="1" operator="containsText" text="Exchange in Use-Issues">
      <formula>NOT(ISERROR(SEARCH("Exchange in Use-Issues",H1)))</formula>
    </cfRule>
    <cfRule type="containsText" dxfId="1" priority="4" stopIfTrue="1" operator="containsText" text="Domino in use-issues">
      <formula>NOT(ISERROR(SEARCH("Domino in use-issues",H1)))</formula>
    </cfRule>
  </conditionalFormatting>
  <conditionalFormatting sqref="H1">
    <cfRule type="containsText" dxfId="0" priority="1" stopIfTrue="1" operator="containsText" text="None">
      <formula>NOT(ISERROR(SEARCH("None",H1)))</formula>
    </cfRule>
  </conditionalFormatting>
  <printOptions horizontalCentered="1" verticalCentered="1"/>
  <pageMargins left="0.19685039370078741" right="0.15748031496062992" top="0.39370078740157483" bottom="0.39370078740157483" header="0.11811023622047245" footer="0.31496062992125984"/>
  <pageSetup paperSize="9" orientation="landscape" horizontalDpi="300" r:id="rId1"/>
  <headerFooter alignWithMargins="0"/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O63"/>
  <sheetViews>
    <sheetView workbookViewId="0">
      <pane xSplit="1" ySplit="4" topLeftCell="B11" activePane="bottomRight" state="frozen"/>
      <selection pane="topRight" activeCell="B1" sqref="B1"/>
      <selection pane="bottomLeft" activeCell="A5" sqref="A5"/>
      <selection pane="bottomRight" activeCell="H12" sqref="H12"/>
    </sheetView>
  </sheetViews>
  <sheetFormatPr defaultRowHeight="20.399999999999999" x14ac:dyDescent="0.35"/>
  <cols>
    <col min="1" max="1" width="9.44140625" style="371" customWidth="1"/>
    <col min="2" max="2" width="29.109375" style="371" bestFit="1" customWidth="1"/>
    <col min="3" max="3" width="9.6640625" style="372" bestFit="1" customWidth="1"/>
    <col min="4" max="4" width="51.5546875" style="371" bestFit="1" customWidth="1"/>
    <col min="5" max="5" width="14.5546875" style="374" bestFit="1" customWidth="1"/>
    <col min="6" max="6" width="10.33203125" style="375" customWidth="1"/>
    <col min="7" max="7" width="29.109375" style="371" bestFit="1" customWidth="1"/>
    <col min="8" max="8" width="6" style="372" bestFit="1" customWidth="1"/>
    <col min="9" max="9" width="42.33203125" style="371" bestFit="1" customWidth="1"/>
    <col min="10" max="10" width="10.33203125" style="371" bestFit="1" customWidth="1"/>
    <col min="11" max="11" width="99.33203125" style="371" bestFit="1" customWidth="1"/>
    <col min="12" max="12" width="17.5546875" style="371" bestFit="1" customWidth="1"/>
    <col min="13" max="256" width="9.109375" style="371"/>
    <col min="257" max="257" width="9.44140625" style="371" customWidth="1"/>
    <col min="258" max="258" width="28.109375" style="371" customWidth="1"/>
    <col min="259" max="259" width="6" style="371" bestFit="1" customWidth="1"/>
    <col min="260" max="260" width="32.5546875" style="371" customWidth="1"/>
    <col min="261" max="261" width="13.109375" style="371" customWidth="1"/>
    <col min="262" max="262" width="10.33203125" style="371" customWidth="1"/>
    <col min="263" max="263" width="30.44140625" style="371" customWidth="1"/>
    <col min="264" max="264" width="9.5546875" style="371" bestFit="1" customWidth="1"/>
    <col min="265" max="265" width="35" style="371" customWidth="1"/>
    <col min="266" max="266" width="10.6640625" style="371" customWidth="1"/>
    <col min="267" max="267" width="56.44140625" style="371" bestFit="1" customWidth="1"/>
    <col min="268" max="268" width="15.88671875" style="371" bestFit="1" customWidth="1"/>
    <col min="269" max="512" width="9.109375" style="371"/>
    <col min="513" max="513" width="9.44140625" style="371" customWidth="1"/>
    <col min="514" max="514" width="28.109375" style="371" customWidth="1"/>
    <col min="515" max="515" width="6" style="371" bestFit="1" customWidth="1"/>
    <col min="516" max="516" width="32.5546875" style="371" customWidth="1"/>
    <col min="517" max="517" width="13.109375" style="371" customWidth="1"/>
    <col min="518" max="518" width="10.33203125" style="371" customWidth="1"/>
    <col min="519" max="519" width="30.44140625" style="371" customWidth="1"/>
    <col min="520" max="520" width="9.5546875" style="371" bestFit="1" customWidth="1"/>
    <col min="521" max="521" width="35" style="371" customWidth="1"/>
    <col min="522" max="522" width="10.6640625" style="371" customWidth="1"/>
    <col min="523" max="523" width="56.44140625" style="371" bestFit="1" customWidth="1"/>
    <col min="524" max="524" width="15.88671875" style="371" bestFit="1" customWidth="1"/>
    <col min="525" max="768" width="9.109375" style="371"/>
    <col min="769" max="769" width="9.44140625" style="371" customWidth="1"/>
    <col min="770" max="770" width="28.109375" style="371" customWidth="1"/>
    <col min="771" max="771" width="6" style="371" bestFit="1" customWidth="1"/>
    <col min="772" max="772" width="32.5546875" style="371" customWidth="1"/>
    <col min="773" max="773" width="13.109375" style="371" customWidth="1"/>
    <col min="774" max="774" width="10.33203125" style="371" customWidth="1"/>
    <col min="775" max="775" width="30.44140625" style="371" customWidth="1"/>
    <col min="776" max="776" width="9.5546875" style="371" bestFit="1" customWidth="1"/>
    <col min="777" max="777" width="35" style="371" customWidth="1"/>
    <col min="778" max="778" width="10.6640625" style="371" customWidth="1"/>
    <col min="779" max="779" width="56.44140625" style="371" bestFit="1" customWidth="1"/>
    <col min="780" max="780" width="15.88671875" style="371" bestFit="1" customWidth="1"/>
    <col min="781" max="1024" width="9.109375" style="371"/>
    <col min="1025" max="1025" width="9.44140625" style="371" customWidth="1"/>
    <col min="1026" max="1026" width="28.109375" style="371" customWidth="1"/>
    <col min="1027" max="1027" width="6" style="371" bestFit="1" customWidth="1"/>
    <col min="1028" max="1028" width="32.5546875" style="371" customWidth="1"/>
    <col min="1029" max="1029" width="13.109375" style="371" customWidth="1"/>
    <col min="1030" max="1030" width="10.33203125" style="371" customWidth="1"/>
    <col min="1031" max="1031" width="30.44140625" style="371" customWidth="1"/>
    <col min="1032" max="1032" width="9.5546875" style="371" bestFit="1" customWidth="1"/>
    <col min="1033" max="1033" width="35" style="371" customWidth="1"/>
    <col min="1034" max="1034" width="10.6640625" style="371" customWidth="1"/>
    <col min="1035" max="1035" width="56.44140625" style="371" bestFit="1" customWidth="1"/>
    <col min="1036" max="1036" width="15.88671875" style="371" bestFit="1" customWidth="1"/>
    <col min="1037" max="1280" width="9.109375" style="371"/>
    <col min="1281" max="1281" width="9.44140625" style="371" customWidth="1"/>
    <col min="1282" max="1282" width="28.109375" style="371" customWidth="1"/>
    <col min="1283" max="1283" width="6" style="371" bestFit="1" customWidth="1"/>
    <col min="1284" max="1284" width="32.5546875" style="371" customWidth="1"/>
    <col min="1285" max="1285" width="13.109375" style="371" customWidth="1"/>
    <col min="1286" max="1286" width="10.33203125" style="371" customWidth="1"/>
    <col min="1287" max="1287" width="30.44140625" style="371" customWidth="1"/>
    <col min="1288" max="1288" width="9.5546875" style="371" bestFit="1" customWidth="1"/>
    <col min="1289" max="1289" width="35" style="371" customWidth="1"/>
    <col min="1290" max="1290" width="10.6640625" style="371" customWidth="1"/>
    <col min="1291" max="1291" width="56.44140625" style="371" bestFit="1" customWidth="1"/>
    <col min="1292" max="1292" width="15.88671875" style="371" bestFit="1" customWidth="1"/>
    <col min="1293" max="1536" width="9.109375" style="371"/>
    <col min="1537" max="1537" width="9.44140625" style="371" customWidth="1"/>
    <col min="1538" max="1538" width="28.109375" style="371" customWidth="1"/>
    <col min="1539" max="1539" width="6" style="371" bestFit="1" customWidth="1"/>
    <col min="1540" max="1540" width="32.5546875" style="371" customWidth="1"/>
    <col min="1541" max="1541" width="13.109375" style="371" customWidth="1"/>
    <col min="1542" max="1542" width="10.33203125" style="371" customWidth="1"/>
    <col min="1543" max="1543" width="30.44140625" style="371" customWidth="1"/>
    <col min="1544" max="1544" width="9.5546875" style="371" bestFit="1" customWidth="1"/>
    <col min="1545" max="1545" width="35" style="371" customWidth="1"/>
    <col min="1546" max="1546" width="10.6640625" style="371" customWidth="1"/>
    <col min="1547" max="1547" width="56.44140625" style="371" bestFit="1" customWidth="1"/>
    <col min="1548" max="1548" width="15.88671875" style="371" bestFit="1" customWidth="1"/>
    <col min="1549" max="1792" width="9.109375" style="371"/>
    <col min="1793" max="1793" width="9.44140625" style="371" customWidth="1"/>
    <col min="1794" max="1794" width="28.109375" style="371" customWidth="1"/>
    <col min="1795" max="1795" width="6" style="371" bestFit="1" customWidth="1"/>
    <col min="1796" max="1796" width="32.5546875" style="371" customWidth="1"/>
    <col min="1797" max="1797" width="13.109375" style="371" customWidth="1"/>
    <col min="1798" max="1798" width="10.33203125" style="371" customWidth="1"/>
    <col min="1799" max="1799" width="30.44140625" style="371" customWidth="1"/>
    <col min="1800" max="1800" width="9.5546875" style="371" bestFit="1" customWidth="1"/>
    <col min="1801" max="1801" width="35" style="371" customWidth="1"/>
    <col min="1802" max="1802" width="10.6640625" style="371" customWidth="1"/>
    <col min="1803" max="1803" width="56.44140625" style="371" bestFit="1" customWidth="1"/>
    <col min="1804" max="1804" width="15.88671875" style="371" bestFit="1" customWidth="1"/>
    <col min="1805" max="2048" width="9.109375" style="371"/>
    <col min="2049" max="2049" width="9.44140625" style="371" customWidth="1"/>
    <col min="2050" max="2050" width="28.109375" style="371" customWidth="1"/>
    <col min="2051" max="2051" width="6" style="371" bestFit="1" customWidth="1"/>
    <col min="2052" max="2052" width="32.5546875" style="371" customWidth="1"/>
    <col min="2053" max="2053" width="13.109375" style="371" customWidth="1"/>
    <col min="2054" max="2054" width="10.33203125" style="371" customWidth="1"/>
    <col min="2055" max="2055" width="30.44140625" style="371" customWidth="1"/>
    <col min="2056" max="2056" width="9.5546875" style="371" bestFit="1" customWidth="1"/>
    <col min="2057" max="2057" width="35" style="371" customWidth="1"/>
    <col min="2058" max="2058" width="10.6640625" style="371" customWidth="1"/>
    <col min="2059" max="2059" width="56.44140625" style="371" bestFit="1" customWidth="1"/>
    <col min="2060" max="2060" width="15.88671875" style="371" bestFit="1" customWidth="1"/>
    <col min="2061" max="2304" width="9.109375" style="371"/>
    <col min="2305" max="2305" width="9.44140625" style="371" customWidth="1"/>
    <col min="2306" max="2306" width="28.109375" style="371" customWidth="1"/>
    <col min="2307" max="2307" width="6" style="371" bestFit="1" customWidth="1"/>
    <col min="2308" max="2308" width="32.5546875" style="371" customWidth="1"/>
    <col min="2309" max="2309" width="13.109375" style="371" customWidth="1"/>
    <col min="2310" max="2310" width="10.33203125" style="371" customWidth="1"/>
    <col min="2311" max="2311" width="30.44140625" style="371" customWidth="1"/>
    <col min="2312" max="2312" width="9.5546875" style="371" bestFit="1" customWidth="1"/>
    <col min="2313" max="2313" width="35" style="371" customWidth="1"/>
    <col min="2314" max="2314" width="10.6640625" style="371" customWidth="1"/>
    <col min="2315" max="2315" width="56.44140625" style="371" bestFit="1" customWidth="1"/>
    <col min="2316" max="2316" width="15.88671875" style="371" bestFit="1" customWidth="1"/>
    <col min="2317" max="2560" width="9.109375" style="371"/>
    <col min="2561" max="2561" width="9.44140625" style="371" customWidth="1"/>
    <col min="2562" max="2562" width="28.109375" style="371" customWidth="1"/>
    <col min="2563" max="2563" width="6" style="371" bestFit="1" customWidth="1"/>
    <col min="2564" max="2564" width="32.5546875" style="371" customWidth="1"/>
    <col min="2565" max="2565" width="13.109375" style="371" customWidth="1"/>
    <col min="2566" max="2566" width="10.33203125" style="371" customWidth="1"/>
    <col min="2567" max="2567" width="30.44140625" style="371" customWidth="1"/>
    <col min="2568" max="2568" width="9.5546875" style="371" bestFit="1" customWidth="1"/>
    <col min="2569" max="2569" width="35" style="371" customWidth="1"/>
    <col min="2570" max="2570" width="10.6640625" style="371" customWidth="1"/>
    <col min="2571" max="2571" width="56.44140625" style="371" bestFit="1" customWidth="1"/>
    <col min="2572" max="2572" width="15.88671875" style="371" bestFit="1" customWidth="1"/>
    <col min="2573" max="2816" width="9.109375" style="371"/>
    <col min="2817" max="2817" width="9.44140625" style="371" customWidth="1"/>
    <col min="2818" max="2818" width="28.109375" style="371" customWidth="1"/>
    <col min="2819" max="2819" width="6" style="371" bestFit="1" customWidth="1"/>
    <col min="2820" max="2820" width="32.5546875" style="371" customWidth="1"/>
    <col min="2821" max="2821" width="13.109375" style="371" customWidth="1"/>
    <col min="2822" max="2822" width="10.33203125" style="371" customWidth="1"/>
    <col min="2823" max="2823" width="30.44140625" style="371" customWidth="1"/>
    <col min="2824" max="2824" width="9.5546875" style="371" bestFit="1" customWidth="1"/>
    <col min="2825" max="2825" width="35" style="371" customWidth="1"/>
    <col min="2826" max="2826" width="10.6640625" style="371" customWidth="1"/>
    <col min="2827" max="2827" width="56.44140625" style="371" bestFit="1" customWidth="1"/>
    <col min="2828" max="2828" width="15.88671875" style="371" bestFit="1" customWidth="1"/>
    <col min="2829" max="3072" width="9.109375" style="371"/>
    <col min="3073" max="3073" width="9.44140625" style="371" customWidth="1"/>
    <col min="3074" max="3074" width="28.109375" style="371" customWidth="1"/>
    <col min="3075" max="3075" width="6" style="371" bestFit="1" customWidth="1"/>
    <col min="3076" max="3076" width="32.5546875" style="371" customWidth="1"/>
    <col min="3077" max="3077" width="13.109375" style="371" customWidth="1"/>
    <col min="3078" max="3078" width="10.33203125" style="371" customWidth="1"/>
    <col min="3079" max="3079" width="30.44140625" style="371" customWidth="1"/>
    <col min="3080" max="3080" width="9.5546875" style="371" bestFit="1" customWidth="1"/>
    <col min="3081" max="3081" width="35" style="371" customWidth="1"/>
    <col min="3082" max="3082" width="10.6640625" style="371" customWidth="1"/>
    <col min="3083" max="3083" width="56.44140625" style="371" bestFit="1" customWidth="1"/>
    <col min="3084" max="3084" width="15.88671875" style="371" bestFit="1" customWidth="1"/>
    <col min="3085" max="3328" width="9.109375" style="371"/>
    <col min="3329" max="3329" width="9.44140625" style="371" customWidth="1"/>
    <col min="3330" max="3330" width="28.109375" style="371" customWidth="1"/>
    <col min="3331" max="3331" width="6" style="371" bestFit="1" customWidth="1"/>
    <col min="3332" max="3332" width="32.5546875" style="371" customWidth="1"/>
    <col min="3333" max="3333" width="13.109375" style="371" customWidth="1"/>
    <col min="3334" max="3334" width="10.33203125" style="371" customWidth="1"/>
    <col min="3335" max="3335" width="30.44140625" style="371" customWidth="1"/>
    <col min="3336" max="3336" width="9.5546875" style="371" bestFit="1" customWidth="1"/>
    <col min="3337" max="3337" width="35" style="371" customWidth="1"/>
    <col min="3338" max="3338" width="10.6640625" style="371" customWidth="1"/>
    <col min="3339" max="3339" width="56.44140625" style="371" bestFit="1" customWidth="1"/>
    <col min="3340" max="3340" width="15.88671875" style="371" bestFit="1" customWidth="1"/>
    <col min="3341" max="3584" width="9.109375" style="371"/>
    <col min="3585" max="3585" width="9.44140625" style="371" customWidth="1"/>
    <col min="3586" max="3586" width="28.109375" style="371" customWidth="1"/>
    <col min="3587" max="3587" width="6" style="371" bestFit="1" customWidth="1"/>
    <col min="3588" max="3588" width="32.5546875" style="371" customWidth="1"/>
    <col min="3589" max="3589" width="13.109375" style="371" customWidth="1"/>
    <col min="3590" max="3590" width="10.33203125" style="371" customWidth="1"/>
    <col min="3591" max="3591" width="30.44140625" style="371" customWidth="1"/>
    <col min="3592" max="3592" width="9.5546875" style="371" bestFit="1" customWidth="1"/>
    <col min="3593" max="3593" width="35" style="371" customWidth="1"/>
    <col min="3594" max="3594" width="10.6640625" style="371" customWidth="1"/>
    <col min="3595" max="3595" width="56.44140625" style="371" bestFit="1" customWidth="1"/>
    <col min="3596" max="3596" width="15.88671875" style="371" bestFit="1" customWidth="1"/>
    <col min="3597" max="3840" width="9.109375" style="371"/>
    <col min="3841" max="3841" width="9.44140625" style="371" customWidth="1"/>
    <col min="3842" max="3842" width="28.109375" style="371" customWidth="1"/>
    <col min="3843" max="3843" width="6" style="371" bestFit="1" customWidth="1"/>
    <col min="3844" max="3844" width="32.5546875" style="371" customWidth="1"/>
    <col min="3845" max="3845" width="13.109375" style="371" customWidth="1"/>
    <col min="3846" max="3846" width="10.33203125" style="371" customWidth="1"/>
    <col min="3847" max="3847" width="30.44140625" style="371" customWidth="1"/>
    <col min="3848" max="3848" width="9.5546875" style="371" bestFit="1" customWidth="1"/>
    <col min="3849" max="3849" width="35" style="371" customWidth="1"/>
    <col min="3850" max="3850" width="10.6640625" style="371" customWidth="1"/>
    <col min="3851" max="3851" width="56.44140625" style="371" bestFit="1" customWidth="1"/>
    <col min="3852" max="3852" width="15.88671875" style="371" bestFit="1" customWidth="1"/>
    <col min="3853" max="4096" width="9.109375" style="371"/>
    <col min="4097" max="4097" width="9.44140625" style="371" customWidth="1"/>
    <col min="4098" max="4098" width="28.109375" style="371" customWidth="1"/>
    <col min="4099" max="4099" width="6" style="371" bestFit="1" customWidth="1"/>
    <col min="4100" max="4100" width="32.5546875" style="371" customWidth="1"/>
    <col min="4101" max="4101" width="13.109375" style="371" customWidth="1"/>
    <col min="4102" max="4102" width="10.33203125" style="371" customWidth="1"/>
    <col min="4103" max="4103" width="30.44140625" style="371" customWidth="1"/>
    <col min="4104" max="4104" width="9.5546875" style="371" bestFit="1" customWidth="1"/>
    <col min="4105" max="4105" width="35" style="371" customWidth="1"/>
    <col min="4106" max="4106" width="10.6640625" style="371" customWidth="1"/>
    <col min="4107" max="4107" width="56.44140625" style="371" bestFit="1" customWidth="1"/>
    <col min="4108" max="4108" width="15.88671875" style="371" bestFit="1" customWidth="1"/>
    <col min="4109" max="4352" width="9.109375" style="371"/>
    <col min="4353" max="4353" width="9.44140625" style="371" customWidth="1"/>
    <col min="4354" max="4354" width="28.109375" style="371" customWidth="1"/>
    <col min="4355" max="4355" width="6" style="371" bestFit="1" customWidth="1"/>
    <col min="4356" max="4356" width="32.5546875" style="371" customWidth="1"/>
    <col min="4357" max="4357" width="13.109375" style="371" customWidth="1"/>
    <col min="4358" max="4358" width="10.33203125" style="371" customWidth="1"/>
    <col min="4359" max="4359" width="30.44140625" style="371" customWidth="1"/>
    <col min="4360" max="4360" width="9.5546875" style="371" bestFit="1" customWidth="1"/>
    <col min="4361" max="4361" width="35" style="371" customWidth="1"/>
    <col min="4362" max="4362" width="10.6640625" style="371" customWidth="1"/>
    <col min="4363" max="4363" width="56.44140625" style="371" bestFit="1" customWidth="1"/>
    <col min="4364" max="4364" width="15.88671875" style="371" bestFit="1" customWidth="1"/>
    <col min="4365" max="4608" width="9.109375" style="371"/>
    <col min="4609" max="4609" width="9.44140625" style="371" customWidth="1"/>
    <col min="4610" max="4610" width="28.109375" style="371" customWidth="1"/>
    <col min="4611" max="4611" width="6" style="371" bestFit="1" customWidth="1"/>
    <col min="4612" max="4612" width="32.5546875" style="371" customWidth="1"/>
    <col min="4613" max="4613" width="13.109375" style="371" customWidth="1"/>
    <col min="4614" max="4614" width="10.33203125" style="371" customWidth="1"/>
    <col min="4615" max="4615" width="30.44140625" style="371" customWidth="1"/>
    <col min="4616" max="4616" width="9.5546875" style="371" bestFit="1" customWidth="1"/>
    <col min="4617" max="4617" width="35" style="371" customWidth="1"/>
    <col min="4618" max="4618" width="10.6640625" style="371" customWidth="1"/>
    <col min="4619" max="4619" width="56.44140625" style="371" bestFit="1" customWidth="1"/>
    <col min="4620" max="4620" width="15.88671875" style="371" bestFit="1" customWidth="1"/>
    <col min="4621" max="4864" width="9.109375" style="371"/>
    <col min="4865" max="4865" width="9.44140625" style="371" customWidth="1"/>
    <col min="4866" max="4866" width="28.109375" style="371" customWidth="1"/>
    <col min="4867" max="4867" width="6" style="371" bestFit="1" customWidth="1"/>
    <col min="4868" max="4868" width="32.5546875" style="371" customWidth="1"/>
    <col min="4869" max="4869" width="13.109375" style="371" customWidth="1"/>
    <col min="4870" max="4870" width="10.33203125" style="371" customWidth="1"/>
    <col min="4871" max="4871" width="30.44140625" style="371" customWidth="1"/>
    <col min="4872" max="4872" width="9.5546875" style="371" bestFit="1" customWidth="1"/>
    <col min="4873" max="4873" width="35" style="371" customWidth="1"/>
    <col min="4874" max="4874" width="10.6640625" style="371" customWidth="1"/>
    <col min="4875" max="4875" width="56.44140625" style="371" bestFit="1" customWidth="1"/>
    <col min="4876" max="4876" width="15.88671875" style="371" bestFit="1" customWidth="1"/>
    <col min="4877" max="5120" width="9.109375" style="371"/>
    <col min="5121" max="5121" width="9.44140625" style="371" customWidth="1"/>
    <col min="5122" max="5122" width="28.109375" style="371" customWidth="1"/>
    <col min="5123" max="5123" width="6" style="371" bestFit="1" customWidth="1"/>
    <col min="5124" max="5124" width="32.5546875" style="371" customWidth="1"/>
    <col min="5125" max="5125" width="13.109375" style="371" customWidth="1"/>
    <col min="5126" max="5126" width="10.33203125" style="371" customWidth="1"/>
    <col min="5127" max="5127" width="30.44140625" style="371" customWidth="1"/>
    <col min="5128" max="5128" width="9.5546875" style="371" bestFit="1" customWidth="1"/>
    <col min="5129" max="5129" width="35" style="371" customWidth="1"/>
    <col min="5130" max="5130" width="10.6640625" style="371" customWidth="1"/>
    <col min="5131" max="5131" width="56.44140625" style="371" bestFit="1" customWidth="1"/>
    <col min="5132" max="5132" width="15.88671875" style="371" bestFit="1" customWidth="1"/>
    <col min="5133" max="5376" width="9.109375" style="371"/>
    <col min="5377" max="5377" width="9.44140625" style="371" customWidth="1"/>
    <col min="5378" max="5378" width="28.109375" style="371" customWidth="1"/>
    <col min="5379" max="5379" width="6" style="371" bestFit="1" customWidth="1"/>
    <col min="5380" max="5380" width="32.5546875" style="371" customWidth="1"/>
    <col min="5381" max="5381" width="13.109375" style="371" customWidth="1"/>
    <col min="5382" max="5382" width="10.33203125" style="371" customWidth="1"/>
    <col min="5383" max="5383" width="30.44140625" style="371" customWidth="1"/>
    <col min="5384" max="5384" width="9.5546875" style="371" bestFit="1" customWidth="1"/>
    <col min="5385" max="5385" width="35" style="371" customWidth="1"/>
    <col min="5386" max="5386" width="10.6640625" style="371" customWidth="1"/>
    <col min="5387" max="5387" width="56.44140625" style="371" bestFit="1" customWidth="1"/>
    <col min="5388" max="5388" width="15.88671875" style="371" bestFit="1" customWidth="1"/>
    <col min="5389" max="5632" width="9.109375" style="371"/>
    <col min="5633" max="5633" width="9.44140625" style="371" customWidth="1"/>
    <col min="5634" max="5634" width="28.109375" style="371" customWidth="1"/>
    <col min="5635" max="5635" width="6" style="371" bestFit="1" customWidth="1"/>
    <col min="5636" max="5636" width="32.5546875" style="371" customWidth="1"/>
    <col min="5637" max="5637" width="13.109375" style="371" customWidth="1"/>
    <col min="5638" max="5638" width="10.33203125" style="371" customWidth="1"/>
    <col min="5639" max="5639" width="30.44140625" style="371" customWidth="1"/>
    <col min="5640" max="5640" width="9.5546875" style="371" bestFit="1" customWidth="1"/>
    <col min="5641" max="5641" width="35" style="371" customWidth="1"/>
    <col min="5642" max="5642" width="10.6640625" style="371" customWidth="1"/>
    <col min="5643" max="5643" width="56.44140625" style="371" bestFit="1" customWidth="1"/>
    <col min="5644" max="5644" width="15.88671875" style="371" bestFit="1" customWidth="1"/>
    <col min="5645" max="5888" width="9.109375" style="371"/>
    <col min="5889" max="5889" width="9.44140625" style="371" customWidth="1"/>
    <col min="5890" max="5890" width="28.109375" style="371" customWidth="1"/>
    <col min="5891" max="5891" width="6" style="371" bestFit="1" customWidth="1"/>
    <col min="5892" max="5892" width="32.5546875" style="371" customWidth="1"/>
    <col min="5893" max="5893" width="13.109375" style="371" customWidth="1"/>
    <col min="5894" max="5894" width="10.33203125" style="371" customWidth="1"/>
    <col min="5895" max="5895" width="30.44140625" style="371" customWidth="1"/>
    <col min="5896" max="5896" width="9.5546875" style="371" bestFit="1" customWidth="1"/>
    <col min="5897" max="5897" width="35" style="371" customWidth="1"/>
    <col min="5898" max="5898" width="10.6640625" style="371" customWidth="1"/>
    <col min="5899" max="5899" width="56.44140625" style="371" bestFit="1" customWidth="1"/>
    <col min="5900" max="5900" width="15.88671875" style="371" bestFit="1" customWidth="1"/>
    <col min="5901" max="6144" width="9.109375" style="371"/>
    <col min="6145" max="6145" width="9.44140625" style="371" customWidth="1"/>
    <col min="6146" max="6146" width="28.109375" style="371" customWidth="1"/>
    <col min="6147" max="6147" width="6" style="371" bestFit="1" customWidth="1"/>
    <col min="6148" max="6148" width="32.5546875" style="371" customWidth="1"/>
    <col min="6149" max="6149" width="13.109375" style="371" customWidth="1"/>
    <col min="6150" max="6150" width="10.33203125" style="371" customWidth="1"/>
    <col min="6151" max="6151" width="30.44140625" style="371" customWidth="1"/>
    <col min="6152" max="6152" width="9.5546875" style="371" bestFit="1" customWidth="1"/>
    <col min="6153" max="6153" width="35" style="371" customWidth="1"/>
    <col min="6154" max="6154" width="10.6640625" style="371" customWidth="1"/>
    <col min="6155" max="6155" width="56.44140625" style="371" bestFit="1" customWidth="1"/>
    <col min="6156" max="6156" width="15.88671875" style="371" bestFit="1" customWidth="1"/>
    <col min="6157" max="6400" width="9.109375" style="371"/>
    <col min="6401" max="6401" width="9.44140625" style="371" customWidth="1"/>
    <col min="6402" max="6402" width="28.109375" style="371" customWidth="1"/>
    <col min="6403" max="6403" width="6" style="371" bestFit="1" customWidth="1"/>
    <col min="6404" max="6404" width="32.5546875" style="371" customWidth="1"/>
    <col min="6405" max="6405" width="13.109375" style="371" customWidth="1"/>
    <col min="6406" max="6406" width="10.33203125" style="371" customWidth="1"/>
    <col min="6407" max="6407" width="30.44140625" style="371" customWidth="1"/>
    <col min="6408" max="6408" width="9.5546875" style="371" bestFit="1" customWidth="1"/>
    <col min="6409" max="6409" width="35" style="371" customWidth="1"/>
    <col min="6410" max="6410" width="10.6640625" style="371" customWidth="1"/>
    <col min="6411" max="6411" width="56.44140625" style="371" bestFit="1" customWidth="1"/>
    <col min="6412" max="6412" width="15.88671875" style="371" bestFit="1" customWidth="1"/>
    <col min="6413" max="6656" width="9.109375" style="371"/>
    <col min="6657" max="6657" width="9.44140625" style="371" customWidth="1"/>
    <col min="6658" max="6658" width="28.109375" style="371" customWidth="1"/>
    <col min="6659" max="6659" width="6" style="371" bestFit="1" customWidth="1"/>
    <col min="6660" max="6660" width="32.5546875" style="371" customWidth="1"/>
    <col min="6661" max="6661" width="13.109375" style="371" customWidth="1"/>
    <col min="6662" max="6662" width="10.33203125" style="371" customWidth="1"/>
    <col min="6663" max="6663" width="30.44140625" style="371" customWidth="1"/>
    <col min="6664" max="6664" width="9.5546875" style="371" bestFit="1" customWidth="1"/>
    <col min="6665" max="6665" width="35" style="371" customWidth="1"/>
    <col min="6666" max="6666" width="10.6640625" style="371" customWidth="1"/>
    <col min="6667" max="6667" width="56.44140625" style="371" bestFit="1" customWidth="1"/>
    <col min="6668" max="6668" width="15.88671875" style="371" bestFit="1" customWidth="1"/>
    <col min="6669" max="6912" width="9.109375" style="371"/>
    <col min="6913" max="6913" width="9.44140625" style="371" customWidth="1"/>
    <col min="6914" max="6914" width="28.109375" style="371" customWidth="1"/>
    <col min="6915" max="6915" width="6" style="371" bestFit="1" customWidth="1"/>
    <col min="6916" max="6916" width="32.5546875" style="371" customWidth="1"/>
    <col min="6917" max="6917" width="13.109375" style="371" customWidth="1"/>
    <col min="6918" max="6918" width="10.33203125" style="371" customWidth="1"/>
    <col min="6919" max="6919" width="30.44140625" style="371" customWidth="1"/>
    <col min="6920" max="6920" width="9.5546875" style="371" bestFit="1" customWidth="1"/>
    <col min="6921" max="6921" width="35" style="371" customWidth="1"/>
    <col min="6922" max="6922" width="10.6640625" style="371" customWidth="1"/>
    <col min="6923" max="6923" width="56.44140625" style="371" bestFit="1" customWidth="1"/>
    <col min="6924" max="6924" width="15.88671875" style="371" bestFit="1" customWidth="1"/>
    <col min="6925" max="7168" width="9.109375" style="371"/>
    <col min="7169" max="7169" width="9.44140625" style="371" customWidth="1"/>
    <col min="7170" max="7170" width="28.109375" style="371" customWidth="1"/>
    <col min="7171" max="7171" width="6" style="371" bestFit="1" customWidth="1"/>
    <col min="7172" max="7172" width="32.5546875" style="371" customWidth="1"/>
    <col min="7173" max="7173" width="13.109375" style="371" customWidth="1"/>
    <col min="7174" max="7174" width="10.33203125" style="371" customWidth="1"/>
    <col min="7175" max="7175" width="30.44140625" style="371" customWidth="1"/>
    <col min="7176" max="7176" width="9.5546875" style="371" bestFit="1" customWidth="1"/>
    <col min="7177" max="7177" width="35" style="371" customWidth="1"/>
    <col min="7178" max="7178" width="10.6640625" style="371" customWidth="1"/>
    <col min="7179" max="7179" width="56.44140625" style="371" bestFit="1" customWidth="1"/>
    <col min="7180" max="7180" width="15.88671875" style="371" bestFit="1" customWidth="1"/>
    <col min="7181" max="7424" width="9.109375" style="371"/>
    <col min="7425" max="7425" width="9.44140625" style="371" customWidth="1"/>
    <col min="7426" max="7426" width="28.109375" style="371" customWidth="1"/>
    <col min="7427" max="7427" width="6" style="371" bestFit="1" customWidth="1"/>
    <col min="7428" max="7428" width="32.5546875" style="371" customWidth="1"/>
    <col min="7429" max="7429" width="13.109375" style="371" customWidth="1"/>
    <col min="7430" max="7430" width="10.33203125" style="371" customWidth="1"/>
    <col min="7431" max="7431" width="30.44140625" style="371" customWidth="1"/>
    <col min="7432" max="7432" width="9.5546875" style="371" bestFit="1" customWidth="1"/>
    <col min="7433" max="7433" width="35" style="371" customWidth="1"/>
    <col min="7434" max="7434" width="10.6640625" style="371" customWidth="1"/>
    <col min="7435" max="7435" width="56.44140625" style="371" bestFit="1" customWidth="1"/>
    <col min="7436" max="7436" width="15.88671875" style="371" bestFit="1" customWidth="1"/>
    <col min="7437" max="7680" width="9.109375" style="371"/>
    <col min="7681" max="7681" width="9.44140625" style="371" customWidth="1"/>
    <col min="7682" max="7682" width="28.109375" style="371" customWidth="1"/>
    <col min="7683" max="7683" width="6" style="371" bestFit="1" customWidth="1"/>
    <col min="7684" max="7684" width="32.5546875" style="371" customWidth="1"/>
    <col min="7685" max="7685" width="13.109375" style="371" customWidth="1"/>
    <col min="7686" max="7686" width="10.33203125" style="371" customWidth="1"/>
    <col min="7687" max="7687" width="30.44140625" style="371" customWidth="1"/>
    <col min="7688" max="7688" width="9.5546875" style="371" bestFit="1" customWidth="1"/>
    <col min="7689" max="7689" width="35" style="371" customWidth="1"/>
    <col min="7690" max="7690" width="10.6640625" style="371" customWidth="1"/>
    <col min="7691" max="7691" width="56.44140625" style="371" bestFit="1" customWidth="1"/>
    <col min="7692" max="7692" width="15.88671875" style="371" bestFit="1" customWidth="1"/>
    <col min="7693" max="7936" width="9.109375" style="371"/>
    <col min="7937" max="7937" width="9.44140625" style="371" customWidth="1"/>
    <col min="7938" max="7938" width="28.109375" style="371" customWidth="1"/>
    <col min="7939" max="7939" width="6" style="371" bestFit="1" customWidth="1"/>
    <col min="7940" max="7940" width="32.5546875" style="371" customWidth="1"/>
    <col min="7941" max="7941" width="13.109375" style="371" customWidth="1"/>
    <col min="7942" max="7942" width="10.33203125" style="371" customWidth="1"/>
    <col min="7943" max="7943" width="30.44140625" style="371" customWidth="1"/>
    <col min="7944" max="7944" width="9.5546875" style="371" bestFit="1" customWidth="1"/>
    <col min="7945" max="7945" width="35" style="371" customWidth="1"/>
    <col min="7946" max="7946" width="10.6640625" style="371" customWidth="1"/>
    <col min="7947" max="7947" width="56.44140625" style="371" bestFit="1" customWidth="1"/>
    <col min="7948" max="7948" width="15.88671875" style="371" bestFit="1" customWidth="1"/>
    <col min="7949" max="8192" width="9.109375" style="371"/>
    <col min="8193" max="8193" width="9.44140625" style="371" customWidth="1"/>
    <col min="8194" max="8194" width="28.109375" style="371" customWidth="1"/>
    <col min="8195" max="8195" width="6" style="371" bestFit="1" customWidth="1"/>
    <col min="8196" max="8196" width="32.5546875" style="371" customWidth="1"/>
    <col min="8197" max="8197" width="13.109375" style="371" customWidth="1"/>
    <col min="8198" max="8198" width="10.33203125" style="371" customWidth="1"/>
    <col min="8199" max="8199" width="30.44140625" style="371" customWidth="1"/>
    <col min="8200" max="8200" width="9.5546875" style="371" bestFit="1" customWidth="1"/>
    <col min="8201" max="8201" width="35" style="371" customWidth="1"/>
    <col min="8202" max="8202" width="10.6640625" style="371" customWidth="1"/>
    <col min="8203" max="8203" width="56.44140625" style="371" bestFit="1" customWidth="1"/>
    <col min="8204" max="8204" width="15.88671875" style="371" bestFit="1" customWidth="1"/>
    <col min="8205" max="8448" width="9.109375" style="371"/>
    <col min="8449" max="8449" width="9.44140625" style="371" customWidth="1"/>
    <col min="8450" max="8450" width="28.109375" style="371" customWidth="1"/>
    <col min="8451" max="8451" width="6" style="371" bestFit="1" customWidth="1"/>
    <col min="8452" max="8452" width="32.5546875" style="371" customWidth="1"/>
    <col min="8453" max="8453" width="13.109375" style="371" customWidth="1"/>
    <col min="8454" max="8454" width="10.33203125" style="371" customWidth="1"/>
    <col min="8455" max="8455" width="30.44140625" style="371" customWidth="1"/>
    <col min="8456" max="8456" width="9.5546875" style="371" bestFit="1" customWidth="1"/>
    <col min="8457" max="8457" width="35" style="371" customWidth="1"/>
    <col min="8458" max="8458" width="10.6640625" style="371" customWidth="1"/>
    <col min="8459" max="8459" width="56.44140625" style="371" bestFit="1" customWidth="1"/>
    <col min="8460" max="8460" width="15.88671875" style="371" bestFit="1" customWidth="1"/>
    <col min="8461" max="8704" width="9.109375" style="371"/>
    <col min="8705" max="8705" width="9.44140625" style="371" customWidth="1"/>
    <col min="8706" max="8706" width="28.109375" style="371" customWidth="1"/>
    <col min="8707" max="8707" width="6" style="371" bestFit="1" customWidth="1"/>
    <col min="8708" max="8708" width="32.5546875" style="371" customWidth="1"/>
    <col min="8709" max="8709" width="13.109375" style="371" customWidth="1"/>
    <col min="8710" max="8710" width="10.33203125" style="371" customWidth="1"/>
    <col min="8711" max="8711" width="30.44140625" style="371" customWidth="1"/>
    <col min="8712" max="8712" width="9.5546875" style="371" bestFit="1" customWidth="1"/>
    <col min="8713" max="8713" width="35" style="371" customWidth="1"/>
    <col min="8714" max="8714" width="10.6640625" style="371" customWidth="1"/>
    <col min="8715" max="8715" width="56.44140625" style="371" bestFit="1" customWidth="1"/>
    <col min="8716" max="8716" width="15.88671875" style="371" bestFit="1" customWidth="1"/>
    <col min="8717" max="8960" width="9.109375" style="371"/>
    <col min="8961" max="8961" width="9.44140625" style="371" customWidth="1"/>
    <col min="8962" max="8962" width="28.109375" style="371" customWidth="1"/>
    <col min="8963" max="8963" width="6" style="371" bestFit="1" customWidth="1"/>
    <col min="8964" max="8964" width="32.5546875" style="371" customWidth="1"/>
    <col min="8965" max="8965" width="13.109375" style="371" customWidth="1"/>
    <col min="8966" max="8966" width="10.33203125" style="371" customWidth="1"/>
    <col min="8967" max="8967" width="30.44140625" style="371" customWidth="1"/>
    <col min="8968" max="8968" width="9.5546875" style="371" bestFit="1" customWidth="1"/>
    <col min="8969" max="8969" width="35" style="371" customWidth="1"/>
    <col min="8970" max="8970" width="10.6640625" style="371" customWidth="1"/>
    <col min="8971" max="8971" width="56.44140625" style="371" bestFit="1" customWidth="1"/>
    <col min="8972" max="8972" width="15.88671875" style="371" bestFit="1" customWidth="1"/>
    <col min="8973" max="9216" width="9.109375" style="371"/>
    <col min="9217" max="9217" width="9.44140625" style="371" customWidth="1"/>
    <col min="9218" max="9218" width="28.109375" style="371" customWidth="1"/>
    <col min="9219" max="9219" width="6" style="371" bestFit="1" customWidth="1"/>
    <col min="9220" max="9220" width="32.5546875" style="371" customWidth="1"/>
    <col min="9221" max="9221" width="13.109375" style="371" customWidth="1"/>
    <col min="9222" max="9222" width="10.33203125" style="371" customWidth="1"/>
    <col min="9223" max="9223" width="30.44140625" style="371" customWidth="1"/>
    <col min="9224" max="9224" width="9.5546875" style="371" bestFit="1" customWidth="1"/>
    <col min="9225" max="9225" width="35" style="371" customWidth="1"/>
    <col min="9226" max="9226" width="10.6640625" style="371" customWidth="1"/>
    <col min="9227" max="9227" width="56.44140625" style="371" bestFit="1" customWidth="1"/>
    <col min="9228" max="9228" width="15.88671875" style="371" bestFit="1" customWidth="1"/>
    <col min="9229" max="9472" width="9.109375" style="371"/>
    <col min="9473" max="9473" width="9.44140625" style="371" customWidth="1"/>
    <col min="9474" max="9474" width="28.109375" style="371" customWidth="1"/>
    <col min="9475" max="9475" width="6" style="371" bestFit="1" customWidth="1"/>
    <col min="9476" max="9476" width="32.5546875" style="371" customWidth="1"/>
    <col min="9477" max="9477" width="13.109375" style="371" customWidth="1"/>
    <col min="9478" max="9478" width="10.33203125" style="371" customWidth="1"/>
    <col min="9479" max="9479" width="30.44140625" style="371" customWidth="1"/>
    <col min="9480" max="9480" width="9.5546875" style="371" bestFit="1" customWidth="1"/>
    <col min="9481" max="9481" width="35" style="371" customWidth="1"/>
    <col min="9482" max="9482" width="10.6640625" style="371" customWidth="1"/>
    <col min="9483" max="9483" width="56.44140625" style="371" bestFit="1" customWidth="1"/>
    <col min="9484" max="9484" width="15.88671875" style="371" bestFit="1" customWidth="1"/>
    <col min="9485" max="9728" width="9.109375" style="371"/>
    <col min="9729" max="9729" width="9.44140625" style="371" customWidth="1"/>
    <col min="9730" max="9730" width="28.109375" style="371" customWidth="1"/>
    <col min="9731" max="9731" width="6" style="371" bestFit="1" customWidth="1"/>
    <col min="9732" max="9732" width="32.5546875" style="371" customWidth="1"/>
    <col min="9733" max="9733" width="13.109375" style="371" customWidth="1"/>
    <col min="9734" max="9734" width="10.33203125" style="371" customWidth="1"/>
    <col min="9735" max="9735" width="30.44140625" style="371" customWidth="1"/>
    <col min="9736" max="9736" width="9.5546875" style="371" bestFit="1" customWidth="1"/>
    <col min="9737" max="9737" width="35" style="371" customWidth="1"/>
    <col min="9738" max="9738" width="10.6640625" style="371" customWidth="1"/>
    <col min="9739" max="9739" width="56.44140625" style="371" bestFit="1" customWidth="1"/>
    <col min="9740" max="9740" width="15.88671875" style="371" bestFit="1" customWidth="1"/>
    <col min="9741" max="9984" width="9.109375" style="371"/>
    <col min="9985" max="9985" width="9.44140625" style="371" customWidth="1"/>
    <col min="9986" max="9986" width="28.109375" style="371" customWidth="1"/>
    <col min="9987" max="9987" width="6" style="371" bestFit="1" customWidth="1"/>
    <col min="9988" max="9988" width="32.5546875" style="371" customWidth="1"/>
    <col min="9989" max="9989" width="13.109375" style="371" customWidth="1"/>
    <col min="9990" max="9990" width="10.33203125" style="371" customWidth="1"/>
    <col min="9991" max="9991" width="30.44140625" style="371" customWidth="1"/>
    <col min="9992" max="9992" width="9.5546875" style="371" bestFit="1" customWidth="1"/>
    <col min="9993" max="9993" width="35" style="371" customWidth="1"/>
    <col min="9994" max="9994" width="10.6640625" style="371" customWidth="1"/>
    <col min="9995" max="9995" width="56.44140625" style="371" bestFit="1" customWidth="1"/>
    <col min="9996" max="9996" width="15.88671875" style="371" bestFit="1" customWidth="1"/>
    <col min="9997" max="10240" width="9.109375" style="371"/>
    <col min="10241" max="10241" width="9.44140625" style="371" customWidth="1"/>
    <col min="10242" max="10242" width="28.109375" style="371" customWidth="1"/>
    <col min="10243" max="10243" width="6" style="371" bestFit="1" customWidth="1"/>
    <col min="10244" max="10244" width="32.5546875" style="371" customWidth="1"/>
    <col min="10245" max="10245" width="13.109375" style="371" customWidth="1"/>
    <col min="10246" max="10246" width="10.33203125" style="371" customWidth="1"/>
    <col min="10247" max="10247" width="30.44140625" style="371" customWidth="1"/>
    <col min="10248" max="10248" width="9.5546875" style="371" bestFit="1" customWidth="1"/>
    <col min="10249" max="10249" width="35" style="371" customWidth="1"/>
    <col min="10250" max="10250" width="10.6640625" style="371" customWidth="1"/>
    <col min="10251" max="10251" width="56.44140625" style="371" bestFit="1" customWidth="1"/>
    <col min="10252" max="10252" width="15.88671875" style="371" bestFit="1" customWidth="1"/>
    <col min="10253" max="10496" width="9.109375" style="371"/>
    <col min="10497" max="10497" width="9.44140625" style="371" customWidth="1"/>
    <col min="10498" max="10498" width="28.109375" style="371" customWidth="1"/>
    <col min="10499" max="10499" width="6" style="371" bestFit="1" customWidth="1"/>
    <col min="10500" max="10500" width="32.5546875" style="371" customWidth="1"/>
    <col min="10501" max="10501" width="13.109375" style="371" customWidth="1"/>
    <col min="10502" max="10502" width="10.33203125" style="371" customWidth="1"/>
    <col min="10503" max="10503" width="30.44140625" style="371" customWidth="1"/>
    <col min="10504" max="10504" width="9.5546875" style="371" bestFit="1" customWidth="1"/>
    <col min="10505" max="10505" width="35" style="371" customWidth="1"/>
    <col min="10506" max="10506" width="10.6640625" style="371" customWidth="1"/>
    <col min="10507" max="10507" width="56.44140625" style="371" bestFit="1" customWidth="1"/>
    <col min="10508" max="10508" width="15.88671875" style="371" bestFit="1" customWidth="1"/>
    <col min="10509" max="10752" width="9.109375" style="371"/>
    <col min="10753" max="10753" width="9.44140625" style="371" customWidth="1"/>
    <col min="10754" max="10754" width="28.109375" style="371" customWidth="1"/>
    <col min="10755" max="10755" width="6" style="371" bestFit="1" customWidth="1"/>
    <col min="10756" max="10756" width="32.5546875" style="371" customWidth="1"/>
    <col min="10757" max="10757" width="13.109375" style="371" customWidth="1"/>
    <col min="10758" max="10758" width="10.33203125" style="371" customWidth="1"/>
    <col min="10759" max="10759" width="30.44140625" style="371" customWidth="1"/>
    <col min="10760" max="10760" width="9.5546875" style="371" bestFit="1" customWidth="1"/>
    <col min="10761" max="10761" width="35" style="371" customWidth="1"/>
    <col min="10762" max="10762" width="10.6640625" style="371" customWidth="1"/>
    <col min="10763" max="10763" width="56.44140625" style="371" bestFit="1" customWidth="1"/>
    <col min="10764" max="10764" width="15.88671875" style="371" bestFit="1" customWidth="1"/>
    <col min="10765" max="11008" width="9.109375" style="371"/>
    <col min="11009" max="11009" width="9.44140625" style="371" customWidth="1"/>
    <col min="11010" max="11010" width="28.109375" style="371" customWidth="1"/>
    <col min="11011" max="11011" width="6" style="371" bestFit="1" customWidth="1"/>
    <col min="11012" max="11012" width="32.5546875" style="371" customWidth="1"/>
    <col min="11013" max="11013" width="13.109375" style="371" customWidth="1"/>
    <col min="11014" max="11014" width="10.33203125" style="371" customWidth="1"/>
    <col min="11015" max="11015" width="30.44140625" style="371" customWidth="1"/>
    <col min="11016" max="11016" width="9.5546875" style="371" bestFit="1" customWidth="1"/>
    <col min="11017" max="11017" width="35" style="371" customWidth="1"/>
    <col min="11018" max="11018" width="10.6640625" style="371" customWidth="1"/>
    <col min="11019" max="11019" width="56.44140625" style="371" bestFit="1" customWidth="1"/>
    <col min="11020" max="11020" width="15.88671875" style="371" bestFit="1" customWidth="1"/>
    <col min="11021" max="11264" width="9.109375" style="371"/>
    <col min="11265" max="11265" width="9.44140625" style="371" customWidth="1"/>
    <col min="11266" max="11266" width="28.109375" style="371" customWidth="1"/>
    <col min="11267" max="11267" width="6" style="371" bestFit="1" customWidth="1"/>
    <col min="11268" max="11268" width="32.5546875" style="371" customWidth="1"/>
    <col min="11269" max="11269" width="13.109375" style="371" customWidth="1"/>
    <col min="11270" max="11270" width="10.33203125" style="371" customWidth="1"/>
    <col min="11271" max="11271" width="30.44140625" style="371" customWidth="1"/>
    <col min="11272" max="11272" width="9.5546875" style="371" bestFit="1" customWidth="1"/>
    <col min="11273" max="11273" width="35" style="371" customWidth="1"/>
    <col min="11274" max="11274" width="10.6640625" style="371" customWidth="1"/>
    <col min="11275" max="11275" width="56.44140625" style="371" bestFit="1" customWidth="1"/>
    <col min="11276" max="11276" width="15.88671875" style="371" bestFit="1" customWidth="1"/>
    <col min="11277" max="11520" width="9.109375" style="371"/>
    <col min="11521" max="11521" width="9.44140625" style="371" customWidth="1"/>
    <col min="11522" max="11522" width="28.109375" style="371" customWidth="1"/>
    <col min="11523" max="11523" width="6" style="371" bestFit="1" customWidth="1"/>
    <col min="11524" max="11524" width="32.5546875" style="371" customWidth="1"/>
    <col min="11525" max="11525" width="13.109375" style="371" customWidth="1"/>
    <col min="11526" max="11526" width="10.33203125" style="371" customWidth="1"/>
    <col min="11527" max="11527" width="30.44140625" style="371" customWidth="1"/>
    <col min="11528" max="11528" width="9.5546875" style="371" bestFit="1" customWidth="1"/>
    <col min="11529" max="11529" width="35" style="371" customWidth="1"/>
    <col min="11530" max="11530" width="10.6640625" style="371" customWidth="1"/>
    <col min="11531" max="11531" width="56.44140625" style="371" bestFit="1" customWidth="1"/>
    <col min="11532" max="11532" width="15.88671875" style="371" bestFit="1" customWidth="1"/>
    <col min="11533" max="11776" width="9.109375" style="371"/>
    <col min="11777" max="11777" width="9.44140625" style="371" customWidth="1"/>
    <col min="11778" max="11778" width="28.109375" style="371" customWidth="1"/>
    <col min="11779" max="11779" width="6" style="371" bestFit="1" customWidth="1"/>
    <col min="11780" max="11780" width="32.5546875" style="371" customWidth="1"/>
    <col min="11781" max="11781" width="13.109375" style="371" customWidth="1"/>
    <col min="11782" max="11782" width="10.33203125" style="371" customWidth="1"/>
    <col min="11783" max="11783" width="30.44140625" style="371" customWidth="1"/>
    <col min="11784" max="11784" width="9.5546875" style="371" bestFit="1" customWidth="1"/>
    <col min="11785" max="11785" width="35" style="371" customWidth="1"/>
    <col min="11786" max="11786" width="10.6640625" style="371" customWidth="1"/>
    <col min="11787" max="11787" width="56.44140625" style="371" bestFit="1" customWidth="1"/>
    <col min="11788" max="11788" width="15.88671875" style="371" bestFit="1" customWidth="1"/>
    <col min="11789" max="12032" width="9.109375" style="371"/>
    <col min="12033" max="12033" width="9.44140625" style="371" customWidth="1"/>
    <col min="12034" max="12034" width="28.109375" style="371" customWidth="1"/>
    <col min="12035" max="12035" width="6" style="371" bestFit="1" customWidth="1"/>
    <col min="12036" max="12036" width="32.5546875" style="371" customWidth="1"/>
    <col min="12037" max="12037" width="13.109375" style="371" customWidth="1"/>
    <col min="12038" max="12038" width="10.33203125" style="371" customWidth="1"/>
    <col min="12039" max="12039" width="30.44140625" style="371" customWidth="1"/>
    <col min="12040" max="12040" width="9.5546875" style="371" bestFit="1" customWidth="1"/>
    <col min="12041" max="12041" width="35" style="371" customWidth="1"/>
    <col min="12042" max="12042" width="10.6640625" style="371" customWidth="1"/>
    <col min="12043" max="12043" width="56.44140625" style="371" bestFit="1" customWidth="1"/>
    <col min="12044" max="12044" width="15.88671875" style="371" bestFit="1" customWidth="1"/>
    <col min="12045" max="12288" width="9.109375" style="371"/>
    <col min="12289" max="12289" width="9.44140625" style="371" customWidth="1"/>
    <col min="12290" max="12290" width="28.109375" style="371" customWidth="1"/>
    <col min="12291" max="12291" width="6" style="371" bestFit="1" customWidth="1"/>
    <col min="12292" max="12292" width="32.5546875" style="371" customWidth="1"/>
    <col min="12293" max="12293" width="13.109375" style="371" customWidth="1"/>
    <col min="12294" max="12294" width="10.33203125" style="371" customWidth="1"/>
    <col min="12295" max="12295" width="30.44140625" style="371" customWidth="1"/>
    <col min="12296" max="12296" width="9.5546875" style="371" bestFit="1" customWidth="1"/>
    <col min="12297" max="12297" width="35" style="371" customWidth="1"/>
    <col min="12298" max="12298" width="10.6640625" style="371" customWidth="1"/>
    <col min="12299" max="12299" width="56.44140625" style="371" bestFit="1" customWidth="1"/>
    <col min="12300" max="12300" width="15.88671875" style="371" bestFit="1" customWidth="1"/>
    <col min="12301" max="12544" width="9.109375" style="371"/>
    <col min="12545" max="12545" width="9.44140625" style="371" customWidth="1"/>
    <col min="12546" max="12546" width="28.109375" style="371" customWidth="1"/>
    <col min="12547" max="12547" width="6" style="371" bestFit="1" customWidth="1"/>
    <col min="12548" max="12548" width="32.5546875" style="371" customWidth="1"/>
    <col min="12549" max="12549" width="13.109375" style="371" customWidth="1"/>
    <col min="12550" max="12550" width="10.33203125" style="371" customWidth="1"/>
    <col min="12551" max="12551" width="30.44140625" style="371" customWidth="1"/>
    <col min="12552" max="12552" width="9.5546875" style="371" bestFit="1" customWidth="1"/>
    <col min="12553" max="12553" width="35" style="371" customWidth="1"/>
    <col min="12554" max="12554" width="10.6640625" style="371" customWidth="1"/>
    <col min="12555" max="12555" width="56.44140625" style="371" bestFit="1" customWidth="1"/>
    <col min="12556" max="12556" width="15.88671875" style="371" bestFit="1" customWidth="1"/>
    <col min="12557" max="12800" width="9.109375" style="371"/>
    <col min="12801" max="12801" width="9.44140625" style="371" customWidth="1"/>
    <col min="12802" max="12802" width="28.109375" style="371" customWidth="1"/>
    <col min="12803" max="12803" width="6" style="371" bestFit="1" customWidth="1"/>
    <col min="12804" max="12804" width="32.5546875" style="371" customWidth="1"/>
    <col min="12805" max="12805" width="13.109375" style="371" customWidth="1"/>
    <col min="12806" max="12806" width="10.33203125" style="371" customWidth="1"/>
    <col min="12807" max="12807" width="30.44140625" style="371" customWidth="1"/>
    <col min="12808" max="12808" width="9.5546875" style="371" bestFit="1" customWidth="1"/>
    <col min="12809" max="12809" width="35" style="371" customWidth="1"/>
    <col min="12810" max="12810" width="10.6640625" style="371" customWidth="1"/>
    <col min="12811" max="12811" width="56.44140625" style="371" bestFit="1" customWidth="1"/>
    <col min="12812" max="12812" width="15.88671875" style="371" bestFit="1" customWidth="1"/>
    <col min="12813" max="13056" width="9.109375" style="371"/>
    <col min="13057" max="13057" width="9.44140625" style="371" customWidth="1"/>
    <col min="13058" max="13058" width="28.109375" style="371" customWidth="1"/>
    <col min="13059" max="13059" width="6" style="371" bestFit="1" customWidth="1"/>
    <col min="13060" max="13060" width="32.5546875" style="371" customWidth="1"/>
    <col min="13061" max="13061" width="13.109375" style="371" customWidth="1"/>
    <col min="13062" max="13062" width="10.33203125" style="371" customWidth="1"/>
    <col min="13063" max="13063" width="30.44140625" style="371" customWidth="1"/>
    <col min="13064" max="13064" width="9.5546875" style="371" bestFit="1" customWidth="1"/>
    <col min="13065" max="13065" width="35" style="371" customWidth="1"/>
    <col min="13066" max="13066" width="10.6640625" style="371" customWidth="1"/>
    <col min="13067" max="13067" width="56.44140625" style="371" bestFit="1" customWidth="1"/>
    <col min="13068" max="13068" width="15.88671875" style="371" bestFit="1" customWidth="1"/>
    <col min="13069" max="13312" width="9.109375" style="371"/>
    <col min="13313" max="13313" width="9.44140625" style="371" customWidth="1"/>
    <col min="13314" max="13314" width="28.109375" style="371" customWidth="1"/>
    <col min="13315" max="13315" width="6" style="371" bestFit="1" customWidth="1"/>
    <col min="13316" max="13316" width="32.5546875" style="371" customWidth="1"/>
    <col min="13317" max="13317" width="13.109375" style="371" customWidth="1"/>
    <col min="13318" max="13318" width="10.33203125" style="371" customWidth="1"/>
    <col min="13319" max="13319" width="30.44140625" style="371" customWidth="1"/>
    <col min="13320" max="13320" width="9.5546875" style="371" bestFit="1" customWidth="1"/>
    <col min="13321" max="13321" width="35" style="371" customWidth="1"/>
    <col min="13322" max="13322" width="10.6640625" style="371" customWidth="1"/>
    <col min="13323" max="13323" width="56.44140625" style="371" bestFit="1" customWidth="1"/>
    <col min="13324" max="13324" width="15.88671875" style="371" bestFit="1" customWidth="1"/>
    <col min="13325" max="13568" width="9.109375" style="371"/>
    <col min="13569" max="13569" width="9.44140625" style="371" customWidth="1"/>
    <col min="13570" max="13570" width="28.109375" style="371" customWidth="1"/>
    <col min="13571" max="13571" width="6" style="371" bestFit="1" customWidth="1"/>
    <col min="13572" max="13572" width="32.5546875" style="371" customWidth="1"/>
    <col min="13573" max="13573" width="13.109375" style="371" customWidth="1"/>
    <col min="13574" max="13574" width="10.33203125" style="371" customWidth="1"/>
    <col min="13575" max="13575" width="30.44140625" style="371" customWidth="1"/>
    <col min="13576" max="13576" width="9.5546875" style="371" bestFit="1" customWidth="1"/>
    <col min="13577" max="13577" width="35" style="371" customWidth="1"/>
    <col min="13578" max="13578" width="10.6640625" style="371" customWidth="1"/>
    <col min="13579" max="13579" width="56.44140625" style="371" bestFit="1" customWidth="1"/>
    <col min="13580" max="13580" width="15.88671875" style="371" bestFit="1" customWidth="1"/>
    <col min="13581" max="13824" width="9.109375" style="371"/>
    <col min="13825" max="13825" width="9.44140625" style="371" customWidth="1"/>
    <col min="13826" max="13826" width="28.109375" style="371" customWidth="1"/>
    <col min="13827" max="13827" width="6" style="371" bestFit="1" customWidth="1"/>
    <col min="13828" max="13828" width="32.5546875" style="371" customWidth="1"/>
    <col min="13829" max="13829" width="13.109375" style="371" customWidth="1"/>
    <col min="13830" max="13830" width="10.33203125" style="371" customWidth="1"/>
    <col min="13831" max="13831" width="30.44140625" style="371" customWidth="1"/>
    <col min="13832" max="13832" width="9.5546875" style="371" bestFit="1" customWidth="1"/>
    <col min="13833" max="13833" width="35" style="371" customWidth="1"/>
    <col min="13834" max="13834" width="10.6640625" style="371" customWidth="1"/>
    <col min="13835" max="13835" width="56.44140625" style="371" bestFit="1" customWidth="1"/>
    <col min="13836" max="13836" width="15.88671875" style="371" bestFit="1" customWidth="1"/>
    <col min="13837" max="14080" width="9.109375" style="371"/>
    <col min="14081" max="14081" width="9.44140625" style="371" customWidth="1"/>
    <col min="14082" max="14082" width="28.109375" style="371" customWidth="1"/>
    <col min="14083" max="14083" width="6" style="371" bestFit="1" customWidth="1"/>
    <col min="14084" max="14084" width="32.5546875" style="371" customWidth="1"/>
    <col min="14085" max="14085" width="13.109375" style="371" customWidth="1"/>
    <col min="14086" max="14086" width="10.33203125" style="371" customWidth="1"/>
    <col min="14087" max="14087" width="30.44140625" style="371" customWidth="1"/>
    <col min="14088" max="14088" width="9.5546875" style="371" bestFit="1" customWidth="1"/>
    <col min="14089" max="14089" width="35" style="371" customWidth="1"/>
    <col min="14090" max="14090" width="10.6640625" style="371" customWidth="1"/>
    <col min="14091" max="14091" width="56.44140625" style="371" bestFit="1" customWidth="1"/>
    <col min="14092" max="14092" width="15.88671875" style="371" bestFit="1" customWidth="1"/>
    <col min="14093" max="14336" width="9.109375" style="371"/>
    <col min="14337" max="14337" width="9.44140625" style="371" customWidth="1"/>
    <col min="14338" max="14338" width="28.109375" style="371" customWidth="1"/>
    <col min="14339" max="14339" width="6" style="371" bestFit="1" customWidth="1"/>
    <col min="14340" max="14340" width="32.5546875" style="371" customWidth="1"/>
    <col min="14341" max="14341" width="13.109375" style="371" customWidth="1"/>
    <col min="14342" max="14342" width="10.33203125" style="371" customWidth="1"/>
    <col min="14343" max="14343" width="30.44140625" style="371" customWidth="1"/>
    <col min="14344" max="14344" width="9.5546875" style="371" bestFit="1" customWidth="1"/>
    <col min="14345" max="14345" width="35" style="371" customWidth="1"/>
    <col min="14346" max="14346" width="10.6640625" style="371" customWidth="1"/>
    <col min="14347" max="14347" width="56.44140625" style="371" bestFit="1" customWidth="1"/>
    <col min="14348" max="14348" width="15.88671875" style="371" bestFit="1" customWidth="1"/>
    <col min="14349" max="14592" width="9.109375" style="371"/>
    <col min="14593" max="14593" width="9.44140625" style="371" customWidth="1"/>
    <col min="14594" max="14594" width="28.109375" style="371" customWidth="1"/>
    <col min="14595" max="14595" width="6" style="371" bestFit="1" customWidth="1"/>
    <col min="14596" max="14596" width="32.5546875" style="371" customWidth="1"/>
    <col min="14597" max="14597" width="13.109375" style="371" customWidth="1"/>
    <col min="14598" max="14598" width="10.33203125" style="371" customWidth="1"/>
    <col min="14599" max="14599" width="30.44140625" style="371" customWidth="1"/>
    <col min="14600" max="14600" width="9.5546875" style="371" bestFit="1" customWidth="1"/>
    <col min="14601" max="14601" width="35" style="371" customWidth="1"/>
    <col min="14602" max="14602" width="10.6640625" style="371" customWidth="1"/>
    <col min="14603" max="14603" width="56.44140625" style="371" bestFit="1" customWidth="1"/>
    <col min="14604" max="14604" width="15.88671875" style="371" bestFit="1" customWidth="1"/>
    <col min="14605" max="14848" width="9.109375" style="371"/>
    <col min="14849" max="14849" width="9.44140625" style="371" customWidth="1"/>
    <col min="14850" max="14850" width="28.109375" style="371" customWidth="1"/>
    <col min="14851" max="14851" width="6" style="371" bestFit="1" customWidth="1"/>
    <col min="14852" max="14852" width="32.5546875" style="371" customWidth="1"/>
    <col min="14853" max="14853" width="13.109375" style="371" customWidth="1"/>
    <col min="14854" max="14854" width="10.33203125" style="371" customWidth="1"/>
    <col min="14855" max="14855" width="30.44140625" style="371" customWidth="1"/>
    <col min="14856" max="14856" width="9.5546875" style="371" bestFit="1" customWidth="1"/>
    <col min="14857" max="14857" width="35" style="371" customWidth="1"/>
    <col min="14858" max="14858" width="10.6640625" style="371" customWidth="1"/>
    <col min="14859" max="14859" width="56.44140625" style="371" bestFit="1" customWidth="1"/>
    <col min="14860" max="14860" width="15.88671875" style="371" bestFit="1" customWidth="1"/>
    <col min="14861" max="15104" width="9.109375" style="371"/>
    <col min="15105" max="15105" width="9.44140625" style="371" customWidth="1"/>
    <col min="15106" max="15106" width="28.109375" style="371" customWidth="1"/>
    <col min="15107" max="15107" width="6" style="371" bestFit="1" customWidth="1"/>
    <col min="15108" max="15108" width="32.5546875" style="371" customWidth="1"/>
    <col min="15109" max="15109" width="13.109375" style="371" customWidth="1"/>
    <col min="15110" max="15110" width="10.33203125" style="371" customWidth="1"/>
    <col min="15111" max="15111" width="30.44140625" style="371" customWidth="1"/>
    <col min="15112" max="15112" width="9.5546875" style="371" bestFit="1" customWidth="1"/>
    <col min="15113" max="15113" width="35" style="371" customWidth="1"/>
    <col min="15114" max="15114" width="10.6640625" style="371" customWidth="1"/>
    <col min="15115" max="15115" width="56.44140625" style="371" bestFit="1" customWidth="1"/>
    <col min="15116" max="15116" width="15.88671875" style="371" bestFit="1" customWidth="1"/>
    <col min="15117" max="15360" width="9.109375" style="371"/>
    <col min="15361" max="15361" width="9.44140625" style="371" customWidth="1"/>
    <col min="15362" max="15362" width="28.109375" style="371" customWidth="1"/>
    <col min="15363" max="15363" width="6" style="371" bestFit="1" customWidth="1"/>
    <col min="15364" max="15364" width="32.5546875" style="371" customWidth="1"/>
    <col min="15365" max="15365" width="13.109375" style="371" customWidth="1"/>
    <col min="15366" max="15366" width="10.33203125" style="371" customWidth="1"/>
    <col min="15367" max="15367" width="30.44140625" style="371" customWidth="1"/>
    <col min="15368" max="15368" width="9.5546875" style="371" bestFit="1" customWidth="1"/>
    <col min="15369" max="15369" width="35" style="371" customWidth="1"/>
    <col min="15370" max="15370" width="10.6640625" style="371" customWidth="1"/>
    <col min="15371" max="15371" width="56.44140625" style="371" bestFit="1" customWidth="1"/>
    <col min="15372" max="15372" width="15.88671875" style="371" bestFit="1" customWidth="1"/>
    <col min="15373" max="15616" width="9.109375" style="371"/>
    <col min="15617" max="15617" width="9.44140625" style="371" customWidth="1"/>
    <col min="15618" max="15618" width="28.109375" style="371" customWidth="1"/>
    <col min="15619" max="15619" width="6" style="371" bestFit="1" customWidth="1"/>
    <col min="15620" max="15620" width="32.5546875" style="371" customWidth="1"/>
    <col min="15621" max="15621" width="13.109375" style="371" customWidth="1"/>
    <col min="15622" max="15622" width="10.33203125" style="371" customWidth="1"/>
    <col min="15623" max="15623" width="30.44140625" style="371" customWidth="1"/>
    <col min="15624" max="15624" width="9.5546875" style="371" bestFit="1" customWidth="1"/>
    <col min="15625" max="15625" width="35" style="371" customWidth="1"/>
    <col min="15626" max="15626" width="10.6640625" style="371" customWidth="1"/>
    <col min="15627" max="15627" width="56.44140625" style="371" bestFit="1" customWidth="1"/>
    <col min="15628" max="15628" width="15.88671875" style="371" bestFit="1" customWidth="1"/>
    <col min="15629" max="15872" width="9.109375" style="371"/>
    <col min="15873" max="15873" width="9.44140625" style="371" customWidth="1"/>
    <col min="15874" max="15874" width="28.109375" style="371" customWidth="1"/>
    <col min="15875" max="15875" width="6" style="371" bestFit="1" customWidth="1"/>
    <col min="15876" max="15876" width="32.5546875" style="371" customWidth="1"/>
    <col min="15877" max="15877" width="13.109375" style="371" customWidth="1"/>
    <col min="15878" max="15878" width="10.33203125" style="371" customWidth="1"/>
    <col min="15879" max="15879" width="30.44140625" style="371" customWidth="1"/>
    <col min="15880" max="15880" width="9.5546875" style="371" bestFit="1" customWidth="1"/>
    <col min="15881" max="15881" width="35" style="371" customWidth="1"/>
    <col min="15882" max="15882" width="10.6640625" style="371" customWidth="1"/>
    <col min="15883" max="15883" width="56.44140625" style="371" bestFit="1" customWidth="1"/>
    <col min="15884" max="15884" width="15.88671875" style="371" bestFit="1" customWidth="1"/>
    <col min="15885" max="16128" width="9.109375" style="371"/>
    <col min="16129" max="16129" width="9.44140625" style="371" customWidth="1"/>
    <col min="16130" max="16130" width="28.109375" style="371" customWidth="1"/>
    <col min="16131" max="16131" width="6" style="371" bestFit="1" customWidth="1"/>
    <col min="16132" max="16132" width="32.5546875" style="371" customWidth="1"/>
    <col min="16133" max="16133" width="13.109375" style="371" customWidth="1"/>
    <col min="16134" max="16134" width="10.33203125" style="371" customWidth="1"/>
    <col min="16135" max="16135" width="30.44140625" style="371" customWidth="1"/>
    <col min="16136" max="16136" width="9.5546875" style="371" bestFit="1" customWidth="1"/>
    <col min="16137" max="16137" width="35" style="371" customWidth="1"/>
    <col min="16138" max="16138" width="10.6640625" style="371" customWidth="1"/>
    <col min="16139" max="16139" width="56.44140625" style="371" bestFit="1" customWidth="1"/>
    <col min="16140" max="16140" width="15.88671875" style="371" bestFit="1" customWidth="1"/>
    <col min="16141" max="16384" width="9.109375" style="371"/>
  </cols>
  <sheetData>
    <row r="1" spans="1:15" ht="21.6" thickBot="1" x14ac:dyDescent="0.45">
      <c r="D1" s="373"/>
      <c r="G1" s="373" t="s">
        <v>768</v>
      </c>
    </row>
    <row r="2" spans="1:15" x14ac:dyDescent="0.35">
      <c r="A2" s="516" t="s">
        <v>906</v>
      </c>
      <c r="B2" s="517"/>
      <c r="C2" s="517"/>
      <c r="D2" s="517"/>
      <c r="E2" s="517"/>
      <c r="F2" s="520"/>
      <c r="G2" s="522" t="s">
        <v>907</v>
      </c>
      <c r="H2" s="522"/>
      <c r="I2" s="522"/>
      <c r="J2" s="523"/>
      <c r="K2" s="376"/>
      <c r="L2" s="376"/>
    </row>
    <row r="3" spans="1:15" ht="21" thickBot="1" x14ac:dyDescent="0.4">
      <c r="A3" s="518"/>
      <c r="B3" s="519"/>
      <c r="C3" s="519"/>
      <c r="D3" s="519"/>
      <c r="E3" s="519"/>
      <c r="F3" s="521"/>
      <c r="G3" s="524"/>
      <c r="H3" s="524"/>
      <c r="I3" s="524"/>
      <c r="J3" s="525"/>
      <c r="K3" s="377"/>
      <c r="L3" s="377"/>
    </row>
    <row r="4" spans="1:15" s="385" customFormat="1" ht="36.6" thickBot="1" x14ac:dyDescent="0.3">
      <c r="A4" s="381" t="s">
        <v>908</v>
      </c>
      <c r="B4" s="494" t="s">
        <v>769</v>
      </c>
      <c r="C4" s="379" t="s">
        <v>770</v>
      </c>
      <c r="D4" s="378" t="s">
        <v>771</v>
      </c>
      <c r="E4" s="378" t="s">
        <v>772</v>
      </c>
      <c r="F4" s="380" t="s">
        <v>773</v>
      </c>
      <c r="G4" s="378" t="s">
        <v>769</v>
      </c>
      <c r="H4" s="379" t="s">
        <v>770</v>
      </c>
      <c r="I4" s="381" t="s">
        <v>771</v>
      </c>
      <c r="J4" s="382" t="s">
        <v>774</v>
      </c>
      <c r="K4" s="383" t="s">
        <v>775</v>
      </c>
      <c r="L4" s="384" t="s">
        <v>776</v>
      </c>
    </row>
    <row r="5" spans="1:15" s="385" customFormat="1" ht="15" thickBot="1" x14ac:dyDescent="0.35">
      <c r="A5" s="420" t="s">
        <v>43</v>
      </c>
      <c r="B5" s="443" t="s">
        <v>777</v>
      </c>
      <c r="C5" s="388">
        <v>18414</v>
      </c>
      <c r="D5" s="389" t="s">
        <v>778</v>
      </c>
      <c r="E5" s="466">
        <v>43815</v>
      </c>
      <c r="F5" s="488" t="s">
        <v>779</v>
      </c>
      <c r="G5" s="443" t="s">
        <v>777</v>
      </c>
      <c r="H5" s="388">
        <v>18414</v>
      </c>
      <c r="I5" s="391" t="s">
        <v>778</v>
      </c>
      <c r="J5" s="441" t="s">
        <v>779</v>
      </c>
      <c r="K5" s="391" t="s">
        <v>780</v>
      </c>
      <c r="L5" s="392" t="s">
        <v>781</v>
      </c>
    </row>
    <row r="6" spans="1:15" s="385" customFormat="1" ht="14.4" x14ac:dyDescent="0.3">
      <c r="A6" s="386"/>
      <c r="B6" s="392" t="s">
        <v>777</v>
      </c>
      <c r="C6" s="388">
        <v>37884</v>
      </c>
      <c r="D6" s="389" t="s">
        <v>782</v>
      </c>
      <c r="E6" s="467">
        <v>45404</v>
      </c>
      <c r="F6" s="488" t="s">
        <v>783</v>
      </c>
      <c r="G6" s="392" t="s">
        <v>777</v>
      </c>
      <c r="H6" s="388">
        <v>37884</v>
      </c>
      <c r="I6" s="391" t="s">
        <v>782</v>
      </c>
      <c r="J6" s="433" t="s">
        <v>779</v>
      </c>
      <c r="K6" s="391" t="s">
        <v>784</v>
      </c>
      <c r="L6" s="392" t="s">
        <v>785</v>
      </c>
    </row>
    <row r="7" spans="1:15" s="385" customFormat="1" ht="14.4" x14ac:dyDescent="0.3">
      <c r="A7" s="386"/>
      <c r="B7" s="392" t="s">
        <v>786</v>
      </c>
      <c r="C7" s="388">
        <v>39100</v>
      </c>
      <c r="D7" s="389" t="s">
        <v>787</v>
      </c>
      <c r="E7" s="467">
        <v>45784</v>
      </c>
      <c r="F7" s="488" t="s">
        <v>34</v>
      </c>
      <c r="G7" s="392" t="s">
        <v>786</v>
      </c>
      <c r="H7" s="388">
        <v>39100</v>
      </c>
      <c r="I7" s="391" t="s">
        <v>787</v>
      </c>
      <c r="J7" s="433" t="s">
        <v>779</v>
      </c>
      <c r="K7" s="391" t="s">
        <v>788</v>
      </c>
      <c r="L7" s="392" t="s">
        <v>789</v>
      </c>
    </row>
    <row r="8" spans="1:15" s="385" customFormat="1" ht="14.4" x14ac:dyDescent="0.3">
      <c r="A8" s="386"/>
      <c r="B8" s="392" t="s">
        <v>790</v>
      </c>
      <c r="C8" s="388">
        <v>28063</v>
      </c>
      <c r="D8" s="389" t="s">
        <v>791</v>
      </c>
      <c r="E8" s="467">
        <v>44260</v>
      </c>
      <c r="F8" s="488" t="s">
        <v>783</v>
      </c>
      <c r="G8" s="392" t="s">
        <v>790</v>
      </c>
      <c r="H8" s="388">
        <v>28063</v>
      </c>
      <c r="I8" s="391" t="s">
        <v>791</v>
      </c>
      <c r="J8" s="433" t="s">
        <v>783</v>
      </c>
      <c r="K8" s="391"/>
      <c r="L8" s="392" t="s">
        <v>792</v>
      </c>
    </row>
    <row r="9" spans="1:15" s="385" customFormat="1" ht="16.5" customHeight="1" x14ac:dyDescent="0.3">
      <c r="A9" s="386"/>
      <c r="B9" s="392" t="s">
        <v>793</v>
      </c>
      <c r="C9" s="388">
        <v>38622</v>
      </c>
      <c r="D9" s="389" t="s">
        <v>794</v>
      </c>
      <c r="E9" s="467">
        <v>45621</v>
      </c>
      <c r="F9" s="488" t="s">
        <v>34</v>
      </c>
      <c r="G9" s="392" t="s">
        <v>793</v>
      </c>
      <c r="H9" s="388">
        <v>38622</v>
      </c>
      <c r="I9" s="391" t="s">
        <v>794</v>
      </c>
      <c r="J9" s="433" t="s">
        <v>34</v>
      </c>
      <c r="K9" s="391" t="s">
        <v>795</v>
      </c>
      <c r="L9" s="392" t="s">
        <v>796</v>
      </c>
    </row>
    <row r="10" spans="1:15" s="385" customFormat="1" ht="16.5" customHeight="1" x14ac:dyDescent="0.3">
      <c r="A10" s="386"/>
      <c r="B10" s="392" t="s">
        <v>793</v>
      </c>
      <c r="C10" s="388">
        <v>38427</v>
      </c>
      <c r="D10" s="389" t="s">
        <v>797</v>
      </c>
      <c r="E10" s="467">
        <v>45544</v>
      </c>
      <c r="F10" s="488" t="s">
        <v>783</v>
      </c>
      <c r="G10" s="392" t="s">
        <v>793</v>
      </c>
      <c r="H10" s="388">
        <v>38427</v>
      </c>
      <c r="I10" s="391" t="s">
        <v>797</v>
      </c>
      <c r="J10" s="433" t="s">
        <v>34</v>
      </c>
      <c r="K10" s="391" t="s">
        <v>795</v>
      </c>
      <c r="L10" s="392" t="s">
        <v>792</v>
      </c>
    </row>
    <row r="11" spans="1:15" s="385" customFormat="1" ht="16.5" customHeight="1" x14ac:dyDescent="0.3">
      <c r="A11" s="386"/>
      <c r="B11" s="392" t="s">
        <v>798</v>
      </c>
      <c r="C11" s="388">
        <v>38889</v>
      </c>
      <c r="D11" s="389" t="s">
        <v>799</v>
      </c>
      <c r="E11" s="467">
        <v>45715</v>
      </c>
      <c r="F11" s="488" t="s">
        <v>34</v>
      </c>
      <c r="G11" s="392" t="s">
        <v>798</v>
      </c>
      <c r="H11" s="388">
        <v>38889</v>
      </c>
      <c r="I11" s="391" t="s">
        <v>799</v>
      </c>
      <c r="J11" s="433" t="s">
        <v>779</v>
      </c>
      <c r="K11" s="391" t="s">
        <v>800</v>
      </c>
      <c r="L11" s="392" t="s">
        <v>801</v>
      </c>
    </row>
    <row r="12" spans="1:15" s="385" customFormat="1" ht="16.5" customHeight="1" x14ac:dyDescent="0.3">
      <c r="A12" s="386"/>
      <c r="B12" s="392" t="s">
        <v>802</v>
      </c>
      <c r="C12" s="388">
        <v>39446</v>
      </c>
      <c r="D12" s="389" t="s">
        <v>803</v>
      </c>
      <c r="E12" s="467">
        <v>45878</v>
      </c>
      <c r="F12" s="488" t="s">
        <v>34</v>
      </c>
      <c r="G12" s="392" t="s">
        <v>802</v>
      </c>
      <c r="H12" s="388">
        <v>39446</v>
      </c>
      <c r="I12" s="391" t="s">
        <v>803</v>
      </c>
      <c r="J12" s="433" t="s">
        <v>779</v>
      </c>
      <c r="K12" s="391" t="s">
        <v>804</v>
      </c>
      <c r="L12" s="392" t="s">
        <v>792</v>
      </c>
    </row>
    <row r="13" spans="1:15" s="385" customFormat="1" ht="14.4" x14ac:dyDescent="0.3">
      <c r="A13" s="386"/>
      <c r="B13" s="392" t="s">
        <v>802</v>
      </c>
      <c r="C13" s="388">
        <v>39447</v>
      </c>
      <c r="D13" s="389" t="s">
        <v>805</v>
      </c>
      <c r="E13" s="467">
        <v>45899</v>
      </c>
      <c r="F13" s="488" t="s">
        <v>34</v>
      </c>
      <c r="G13" s="392" t="s">
        <v>802</v>
      </c>
      <c r="H13" s="388">
        <v>39447</v>
      </c>
      <c r="I13" s="391" t="s">
        <v>805</v>
      </c>
      <c r="J13" s="433" t="s">
        <v>779</v>
      </c>
      <c r="K13" s="391" t="s">
        <v>806</v>
      </c>
      <c r="L13" s="392" t="s">
        <v>807</v>
      </c>
    </row>
    <row r="14" spans="1:15" s="385" customFormat="1" ht="15" thickBot="1" x14ac:dyDescent="0.35">
      <c r="A14" s="386"/>
      <c r="B14" s="463" t="s">
        <v>808</v>
      </c>
      <c r="C14" s="388">
        <v>39238</v>
      </c>
      <c r="D14" s="389" t="s">
        <v>809</v>
      </c>
      <c r="E14" s="468">
        <v>45826</v>
      </c>
      <c r="F14" s="488" t="s">
        <v>783</v>
      </c>
      <c r="G14" s="463" t="s">
        <v>808</v>
      </c>
      <c r="H14" s="388">
        <v>39238</v>
      </c>
      <c r="I14" s="391" t="s">
        <v>809</v>
      </c>
      <c r="J14" s="489" t="s">
        <v>779</v>
      </c>
      <c r="K14" s="391" t="s">
        <v>810</v>
      </c>
      <c r="L14" s="392" t="s">
        <v>801</v>
      </c>
    </row>
    <row r="15" spans="1:15" s="400" customFormat="1" ht="15" thickBot="1" x14ac:dyDescent="0.35">
      <c r="A15" s="393"/>
      <c r="B15" s="453"/>
      <c r="C15" s="477"/>
      <c r="D15" s="393" t="s">
        <v>811</v>
      </c>
      <c r="E15" s="450"/>
      <c r="F15" s="404"/>
      <c r="G15" s="477" t="s">
        <v>812</v>
      </c>
      <c r="H15" s="396"/>
      <c r="I15" s="397"/>
      <c r="J15" s="404"/>
      <c r="K15" s="417"/>
      <c r="L15" s="404"/>
    </row>
    <row r="16" spans="1:15" s="400" customFormat="1" ht="15" thickBot="1" x14ac:dyDescent="0.35">
      <c r="A16" s="506" t="s">
        <v>44</v>
      </c>
      <c r="B16" s="443" t="s">
        <v>813</v>
      </c>
      <c r="C16" s="388">
        <v>36405</v>
      </c>
      <c r="D16" s="389" t="s">
        <v>814</v>
      </c>
      <c r="E16" s="466">
        <v>45138</v>
      </c>
      <c r="F16" s="488" t="s">
        <v>779</v>
      </c>
      <c r="G16" s="443" t="s">
        <v>813</v>
      </c>
      <c r="H16" s="388">
        <v>36405</v>
      </c>
      <c r="I16" s="387" t="s">
        <v>814</v>
      </c>
      <c r="J16" s="490"/>
      <c r="K16" s="387" t="s">
        <v>815</v>
      </c>
      <c r="L16" s="392" t="s">
        <v>816</v>
      </c>
      <c r="M16" s="401"/>
      <c r="N16" s="402"/>
      <c r="O16" s="402"/>
    </row>
    <row r="17" spans="1:15" s="400" customFormat="1" ht="14.4" x14ac:dyDescent="0.3">
      <c r="A17" s="411"/>
      <c r="B17" s="392" t="s">
        <v>817</v>
      </c>
      <c r="C17" s="388">
        <v>34395</v>
      </c>
      <c r="D17" s="389" t="s">
        <v>818</v>
      </c>
      <c r="E17" s="467">
        <v>44797</v>
      </c>
      <c r="F17" s="488" t="s">
        <v>779</v>
      </c>
      <c r="G17" s="392" t="s">
        <v>817</v>
      </c>
      <c r="H17" s="388">
        <v>34395</v>
      </c>
      <c r="I17" s="387" t="s">
        <v>818</v>
      </c>
      <c r="J17" s="491"/>
      <c r="K17" s="387" t="s">
        <v>819</v>
      </c>
      <c r="L17" s="392" t="s">
        <v>816</v>
      </c>
      <c r="M17" s="401"/>
      <c r="N17" s="402"/>
      <c r="O17" s="402"/>
    </row>
    <row r="18" spans="1:15" s="400" customFormat="1" ht="14.4" x14ac:dyDescent="0.3">
      <c r="A18" s="386"/>
      <c r="B18" s="392" t="s">
        <v>817</v>
      </c>
      <c r="C18" s="388">
        <v>38340</v>
      </c>
      <c r="D18" s="389" t="s">
        <v>820</v>
      </c>
      <c r="E18" s="467">
        <v>45516</v>
      </c>
      <c r="F18" s="488" t="s">
        <v>779</v>
      </c>
      <c r="G18" s="392" t="s">
        <v>817</v>
      </c>
      <c r="H18" s="388">
        <v>38340</v>
      </c>
      <c r="I18" s="387" t="s">
        <v>820</v>
      </c>
      <c r="J18" s="491"/>
      <c r="K18" s="387" t="s">
        <v>821</v>
      </c>
      <c r="L18" s="392" t="s">
        <v>816</v>
      </c>
      <c r="M18" s="401"/>
      <c r="N18" s="402"/>
      <c r="O18" s="402"/>
    </row>
    <row r="19" spans="1:15" s="400" customFormat="1" ht="14.4" x14ac:dyDescent="0.3">
      <c r="A19" s="386"/>
      <c r="B19" s="392" t="s">
        <v>817</v>
      </c>
      <c r="C19" s="388">
        <v>38695</v>
      </c>
      <c r="D19" s="389" t="s">
        <v>822</v>
      </c>
      <c r="E19" s="467">
        <v>45646</v>
      </c>
      <c r="F19" s="488" t="s">
        <v>779</v>
      </c>
      <c r="G19" s="392" t="s">
        <v>817</v>
      </c>
      <c r="H19" s="388">
        <v>38695</v>
      </c>
      <c r="I19" s="387" t="s">
        <v>822</v>
      </c>
      <c r="J19" s="491"/>
      <c r="K19" s="387" t="s">
        <v>823</v>
      </c>
      <c r="L19" s="392" t="s">
        <v>816</v>
      </c>
      <c r="M19" s="401"/>
      <c r="N19" s="402"/>
      <c r="O19" s="402"/>
    </row>
    <row r="20" spans="1:15" s="400" customFormat="1" ht="14.4" x14ac:dyDescent="0.3">
      <c r="A20" s="386"/>
      <c r="B20" s="392" t="s">
        <v>817</v>
      </c>
      <c r="C20" s="388">
        <v>39064</v>
      </c>
      <c r="D20" s="389" t="s">
        <v>824</v>
      </c>
      <c r="E20" s="467">
        <v>45771</v>
      </c>
      <c r="F20" s="488" t="s">
        <v>779</v>
      </c>
      <c r="G20" s="392" t="s">
        <v>817</v>
      </c>
      <c r="H20" s="388">
        <v>39064</v>
      </c>
      <c r="I20" s="387" t="s">
        <v>824</v>
      </c>
      <c r="J20" s="491"/>
      <c r="K20" s="387" t="s">
        <v>825</v>
      </c>
      <c r="L20" s="392" t="s">
        <v>826</v>
      </c>
      <c r="M20" s="401"/>
      <c r="N20" s="402"/>
      <c r="O20" s="402"/>
    </row>
    <row r="21" spans="1:15" s="400" customFormat="1" ht="14.4" x14ac:dyDescent="0.3">
      <c r="A21" s="386"/>
      <c r="B21" s="392" t="s">
        <v>817</v>
      </c>
      <c r="C21" s="388">
        <v>39486</v>
      </c>
      <c r="D21" s="389" t="s">
        <v>909</v>
      </c>
      <c r="E21" s="467">
        <v>45912</v>
      </c>
      <c r="F21" s="488" t="s">
        <v>779</v>
      </c>
      <c r="G21" s="392" t="s">
        <v>817</v>
      </c>
      <c r="H21" s="388">
        <v>39486</v>
      </c>
      <c r="I21" s="387" t="s">
        <v>909</v>
      </c>
      <c r="J21" s="491"/>
      <c r="K21" s="387" t="s">
        <v>910</v>
      </c>
      <c r="L21" s="392" t="s">
        <v>911</v>
      </c>
      <c r="M21" s="401"/>
      <c r="N21" s="402"/>
      <c r="O21" s="402"/>
    </row>
    <row r="22" spans="1:15" s="400" customFormat="1" ht="14.4" x14ac:dyDescent="0.3">
      <c r="A22" s="386"/>
      <c r="B22" s="392" t="s">
        <v>827</v>
      </c>
      <c r="C22" s="388">
        <v>36516</v>
      </c>
      <c r="D22" s="389" t="s">
        <v>828</v>
      </c>
      <c r="E22" s="467">
        <v>45282</v>
      </c>
      <c r="F22" s="488" t="s">
        <v>779</v>
      </c>
      <c r="G22" s="392" t="s">
        <v>827</v>
      </c>
      <c r="H22" s="388">
        <v>36516</v>
      </c>
      <c r="I22" s="387" t="s">
        <v>828</v>
      </c>
      <c r="J22" s="491"/>
      <c r="K22" s="387" t="s">
        <v>815</v>
      </c>
      <c r="L22" s="392" t="s">
        <v>816</v>
      </c>
      <c r="M22" s="401"/>
      <c r="N22" s="402"/>
      <c r="O22" s="402"/>
    </row>
    <row r="23" spans="1:15" s="400" customFormat="1" ht="14.4" x14ac:dyDescent="0.3">
      <c r="A23" s="386"/>
      <c r="B23" s="392" t="s">
        <v>827</v>
      </c>
      <c r="C23" s="388">
        <v>38341</v>
      </c>
      <c r="D23" s="389" t="s">
        <v>829</v>
      </c>
      <c r="E23" s="467">
        <v>45517</v>
      </c>
      <c r="F23" s="488" t="s">
        <v>779</v>
      </c>
      <c r="G23" s="392" t="s">
        <v>827</v>
      </c>
      <c r="H23" s="388">
        <v>38341</v>
      </c>
      <c r="I23" s="387" t="s">
        <v>829</v>
      </c>
      <c r="J23" s="491"/>
      <c r="K23" s="387" t="s">
        <v>830</v>
      </c>
      <c r="L23" s="392" t="s">
        <v>816</v>
      </c>
      <c r="M23" s="401"/>
      <c r="N23" s="402"/>
      <c r="O23" s="402"/>
    </row>
    <row r="24" spans="1:15" s="400" customFormat="1" ht="14.4" x14ac:dyDescent="0.3">
      <c r="A24" s="386"/>
      <c r="B24" s="392" t="s">
        <v>827</v>
      </c>
      <c r="C24" s="388">
        <v>38439</v>
      </c>
      <c r="D24" s="389" t="s">
        <v>831</v>
      </c>
      <c r="E24" s="467">
        <v>45551</v>
      </c>
      <c r="F24" s="488" t="s">
        <v>779</v>
      </c>
      <c r="G24" s="392" t="s">
        <v>827</v>
      </c>
      <c r="H24" s="388">
        <v>38439</v>
      </c>
      <c r="I24" s="387" t="s">
        <v>831</v>
      </c>
      <c r="J24" s="491"/>
      <c r="K24" s="387" t="s">
        <v>832</v>
      </c>
      <c r="L24" s="392" t="s">
        <v>816</v>
      </c>
      <c r="M24" s="401"/>
      <c r="N24" s="402"/>
      <c r="O24" s="402"/>
    </row>
    <row r="25" spans="1:15" s="400" customFormat="1" ht="14.4" x14ac:dyDescent="0.3">
      <c r="A25" s="386"/>
      <c r="B25" s="392" t="s">
        <v>827</v>
      </c>
      <c r="C25" s="388">
        <v>38745</v>
      </c>
      <c r="D25" s="389" t="s">
        <v>833</v>
      </c>
      <c r="E25" s="467">
        <v>45672</v>
      </c>
      <c r="F25" s="488" t="s">
        <v>779</v>
      </c>
      <c r="G25" s="392" t="s">
        <v>827</v>
      </c>
      <c r="H25" s="388">
        <v>38745</v>
      </c>
      <c r="I25" s="387" t="s">
        <v>833</v>
      </c>
      <c r="J25" s="491"/>
      <c r="K25" s="387" t="s">
        <v>834</v>
      </c>
      <c r="L25" s="392" t="s">
        <v>816</v>
      </c>
      <c r="M25" s="401"/>
      <c r="N25" s="402"/>
      <c r="O25" s="402"/>
    </row>
    <row r="26" spans="1:15" s="400" customFormat="1" ht="14.4" x14ac:dyDescent="0.3">
      <c r="A26" s="386"/>
      <c r="B26" s="392" t="s">
        <v>835</v>
      </c>
      <c r="C26" s="388">
        <v>12951</v>
      </c>
      <c r="D26" s="389" t="s">
        <v>836</v>
      </c>
      <c r="E26" s="467">
        <v>45154</v>
      </c>
      <c r="F26" s="488" t="s">
        <v>779</v>
      </c>
      <c r="G26" s="392" t="s">
        <v>835</v>
      </c>
      <c r="H26" s="388">
        <v>12951</v>
      </c>
      <c r="I26" s="387" t="s">
        <v>836</v>
      </c>
      <c r="J26" s="491"/>
      <c r="K26" s="387" t="s">
        <v>837</v>
      </c>
      <c r="L26" s="392" t="s">
        <v>838</v>
      </c>
      <c r="M26" s="401"/>
      <c r="N26" s="402"/>
      <c r="O26" s="402"/>
    </row>
    <row r="27" spans="1:15" s="400" customFormat="1" ht="15" thickBot="1" x14ac:dyDescent="0.35">
      <c r="A27" s="386"/>
      <c r="B27" s="392" t="s">
        <v>835</v>
      </c>
      <c r="C27" s="388">
        <v>27612</v>
      </c>
      <c r="D27" s="389" t="s">
        <v>839</v>
      </c>
      <c r="E27" s="468">
        <v>44250</v>
      </c>
      <c r="F27" s="488" t="s">
        <v>779</v>
      </c>
      <c r="G27" s="392" t="s">
        <v>835</v>
      </c>
      <c r="H27" s="388">
        <v>27612</v>
      </c>
      <c r="I27" s="387" t="s">
        <v>839</v>
      </c>
      <c r="J27" s="492"/>
      <c r="K27" s="387" t="s">
        <v>840</v>
      </c>
      <c r="L27" s="392" t="s">
        <v>781</v>
      </c>
      <c r="M27" s="401"/>
      <c r="N27" s="402"/>
      <c r="O27" s="402"/>
    </row>
    <row r="28" spans="1:15" s="400" customFormat="1" ht="15" thickBot="1" x14ac:dyDescent="0.35">
      <c r="A28" s="507"/>
      <c r="B28" s="505" t="s">
        <v>835</v>
      </c>
      <c r="C28" s="388">
        <v>39027</v>
      </c>
      <c r="D28" s="448" t="s">
        <v>841</v>
      </c>
      <c r="E28" s="468">
        <v>45764</v>
      </c>
      <c r="F28" s="488" t="s">
        <v>779</v>
      </c>
      <c r="G28" s="505" t="s">
        <v>835</v>
      </c>
      <c r="H28" s="446">
        <v>39027</v>
      </c>
      <c r="I28" s="445" t="s">
        <v>841</v>
      </c>
      <c r="J28" s="495"/>
      <c r="K28" s="445" t="s">
        <v>823</v>
      </c>
      <c r="L28" s="392" t="s">
        <v>816</v>
      </c>
      <c r="M28" s="401"/>
      <c r="N28" s="402"/>
      <c r="O28" s="402"/>
    </row>
    <row r="29" spans="1:15" s="400" customFormat="1" ht="15" thickBot="1" x14ac:dyDescent="0.35">
      <c r="A29" s="476"/>
      <c r="B29" s="394"/>
      <c r="C29" s="393"/>
      <c r="D29" s="393" t="s">
        <v>912</v>
      </c>
      <c r="E29" s="394"/>
      <c r="F29" s="394"/>
      <c r="G29" s="393" t="s">
        <v>842</v>
      </c>
      <c r="H29" s="396"/>
      <c r="I29" s="397"/>
      <c r="J29" s="404"/>
      <c r="K29" s="398"/>
      <c r="L29" s="399"/>
    </row>
    <row r="30" spans="1:15" s="400" customFormat="1" ht="15" thickBot="1" x14ac:dyDescent="0.35">
      <c r="A30" s="420" t="s">
        <v>45</v>
      </c>
      <c r="B30" s="443" t="s">
        <v>843</v>
      </c>
      <c r="C30" s="421">
        <v>35041</v>
      </c>
      <c r="D30" s="391" t="s">
        <v>844</v>
      </c>
      <c r="E30" s="466">
        <v>44894</v>
      </c>
      <c r="F30" s="501" t="s">
        <v>34</v>
      </c>
      <c r="G30" s="443" t="s">
        <v>843</v>
      </c>
      <c r="H30" s="475">
        <v>35041</v>
      </c>
      <c r="I30" s="391" t="s">
        <v>844</v>
      </c>
      <c r="J30" s="409" t="s">
        <v>845</v>
      </c>
      <c r="K30" s="410" t="s">
        <v>846</v>
      </c>
      <c r="L30" s="444" t="s">
        <v>847</v>
      </c>
      <c r="M30" s="401"/>
      <c r="N30" s="402"/>
      <c r="O30" s="402"/>
    </row>
    <row r="31" spans="1:15" s="400" customFormat="1" ht="14.4" x14ac:dyDescent="0.3">
      <c r="A31" s="411"/>
      <c r="B31" s="392" t="s">
        <v>843</v>
      </c>
      <c r="C31" s="424">
        <v>38846</v>
      </c>
      <c r="D31" s="387" t="s">
        <v>848</v>
      </c>
      <c r="E31" s="467">
        <v>45699</v>
      </c>
      <c r="F31" s="502" t="s">
        <v>34</v>
      </c>
      <c r="G31" s="392" t="s">
        <v>843</v>
      </c>
      <c r="H31" s="412">
        <v>38846</v>
      </c>
      <c r="I31" s="387" t="s">
        <v>848</v>
      </c>
      <c r="J31" s="409"/>
      <c r="K31" s="410" t="s">
        <v>849</v>
      </c>
      <c r="L31" s="392" t="s">
        <v>847</v>
      </c>
      <c r="M31" s="401"/>
      <c r="N31" s="402"/>
      <c r="O31" s="402"/>
    </row>
    <row r="32" spans="1:15" s="400" customFormat="1" ht="15" thickBot="1" x14ac:dyDescent="0.35">
      <c r="A32" s="386"/>
      <c r="B32" s="463" t="s">
        <v>108</v>
      </c>
      <c r="C32" s="469">
        <v>38874</v>
      </c>
      <c r="D32" s="504" t="s">
        <v>850</v>
      </c>
      <c r="E32" s="468">
        <v>45709</v>
      </c>
      <c r="F32" s="503" t="s">
        <v>34</v>
      </c>
      <c r="G32" s="463" t="s">
        <v>108</v>
      </c>
      <c r="H32" s="470">
        <v>38874</v>
      </c>
      <c r="I32" s="413" t="s">
        <v>850</v>
      </c>
      <c r="J32" s="447" t="s">
        <v>779</v>
      </c>
      <c r="K32" s="471" t="s">
        <v>851</v>
      </c>
      <c r="L32" s="457" t="s">
        <v>847</v>
      </c>
      <c r="M32" s="401"/>
      <c r="N32" s="402"/>
      <c r="O32" s="402"/>
    </row>
    <row r="33" spans="1:15" s="400" customFormat="1" ht="15" thickBot="1" x14ac:dyDescent="0.35">
      <c r="A33" s="476"/>
      <c r="B33" s="450"/>
      <c r="C33" s="453"/>
      <c r="D33" s="477" t="s">
        <v>852</v>
      </c>
      <c r="E33" s="394"/>
      <c r="F33" s="395"/>
      <c r="G33" s="429" t="s">
        <v>853</v>
      </c>
      <c r="H33" s="396"/>
      <c r="I33" s="398"/>
      <c r="J33" s="396"/>
      <c r="K33" s="404"/>
      <c r="L33" s="404"/>
    </row>
    <row r="34" spans="1:15" s="400" customFormat="1" ht="15" thickBot="1" x14ac:dyDescent="0.35">
      <c r="A34" s="420" t="s">
        <v>46</v>
      </c>
      <c r="B34" s="391" t="s">
        <v>843</v>
      </c>
      <c r="C34" s="388">
        <v>35041</v>
      </c>
      <c r="D34" s="472" t="s">
        <v>844</v>
      </c>
      <c r="E34" s="473">
        <v>44894</v>
      </c>
      <c r="F34" s="474" t="s">
        <v>34</v>
      </c>
      <c r="G34" s="478" t="s">
        <v>843</v>
      </c>
      <c r="H34" s="475">
        <v>35041</v>
      </c>
      <c r="I34" s="391" t="s">
        <v>844</v>
      </c>
      <c r="J34" s="409" t="s">
        <v>779</v>
      </c>
      <c r="K34" s="410" t="s">
        <v>854</v>
      </c>
      <c r="L34" s="444" t="s">
        <v>847</v>
      </c>
      <c r="M34" s="401"/>
      <c r="N34" s="402"/>
      <c r="O34" s="402"/>
    </row>
    <row r="35" spans="1:15" s="400" customFormat="1" ht="15" thickBot="1" x14ac:dyDescent="0.35">
      <c r="A35" s="411"/>
      <c r="B35" s="387" t="s">
        <v>843</v>
      </c>
      <c r="C35" s="424">
        <v>38846</v>
      </c>
      <c r="D35" s="405" t="s">
        <v>848</v>
      </c>
      <c r="E35" s="390">
        <v>45699</v>
      </c>
      <c r="F35" s="407" t="s">
        <v>34</v>
      </c>
      <c r="G35" s="406" t="s">
        <v>843</v>
      </c>
      <c r="H35" s="408">
        <v>38846</v>
      </c>
      <c r="I35" s="391" t="s">
        <v>848</v>
      </c>
      <c r="J35" s="409" t="s">
        <v>779</v>
      </c>
      <c r="K35" s="410" t="s">
        <v>855</v>
      </c>
      <c r="L35" s="392" t="s">
        <v>847</v>
      </c>
      <c r="M35" s="401"/>
      <c r="N35" s="402"/>
      <c r="O35" s="402"/>
    </row>
    <row r="36" spans="1:15" s="400" customFormat="1" ht="15" thickBot="1" x14ac:dyDescent="0.35">
      <c r="A36" s="386"/>
      <c r="B36" s="387" t="s">
        <v>108</v>
      </c>
      <c r="C36" s="469">
        <v>38874</v>
      </c>
      <c r="D36" s="405" t="s">
        <v>850</v>
      </c>
      <c r="E36" s="390">
        <v>45709</v>
      </c>
      <c r="F36" s="407" t="s">
        <v>34</v>
      </c>
      <c r="G36" s="406" t="s">
        <v>108</v>
      </c>
      <c r="H36" s="408">
        <v>38874</v>
      </c>
      <c r="I36" s="391" t="s">
        <v>850</v>
      </c>
      <c r="J36" s="409" t="s">
        <v>779</v>
      </c>
      <c r="K36" s="410" t="s">
        <v>856</v>
      </c>
      <c r="L36" s="392" t="s">
        <v>847</v>
      </c>
      <c r="M36" s="401"/>
      <c r="N36" s="402"/>
      <c r="O36" s="402"/>
    </row>
    <row r="37" spans="1:15" s="400" customFormat="1" ht="15" thickBot="1" x14ac:dyDescent="0.35">
      <c r="A37" s="393"/>
      <c r="B37" s="456"/>
      <c r="C37" s="396"/>
      <c r="D37" s="479" t="s">
        <v>857</v>
      </c>
      <c r="E37" s="396"/>
      <c r="F37" s="396"/>
      <c r="G37" s="396"/>
      <c r="H37" s="396"/>
      <c r="I37" s="417" t="s">
        <v>858</v>
      </c>
      <c r="J37" s="404"/>
      <c r="K37" s="418"/>
      <c r="L37" s="419"/>
    </row>
    <row r="38" spans="1:15" s="400" customFormat="1" ht="15" thickBot="1" x14ac:dyDescent="0.35">
      <c r="A38" s="496" t="s">
        <v>47</v>
      </c>
      <c r="B38" s="443" t="s">
        <v>913</v>
      </c>
      <c r="C38" s="464">
        <v>39005</v>
      </c>
      <c r="D38" s="443" t="s">
        <v>914</v>
      </c>
      <c r="E38" s="508" t="s">
        <v>915</v>
      </c>
      <c r="F38" s="482" t="s">
        <v>783</v>
      </c>
      <c r="G38" s="485" t="s">
        <v>913</v>
      </c>
      <c r="H38" s="421">
        <v>39005</v>
      </c>
      <c r="I38" s="391" t="s">
        <v>914</v>
      </c>
      <c r="J38" s="409" t="s">
        <v>779</v>
      </c>
      <c r="K38" s="410" t="s">
        <v>862</v>
      </c>
      <c r="L38" s="392" t="s">
        <v>926</v>
      </c>
      <c r="M38" s="401"/>
      <c r="N38" s="402"/>
      <c r="O38" s="402"/>
    </row>
    <row r="39" spans="1:15" s="400" customFormat="1" ht="14.4" x14ac:dyDescent="0.3">
      <c r="A39" s="422"/>
      <c r="B39" s="392" t="s">
        <v>860</v>
      </c>
      <c r="C39" s="465">
        <v>9531</v>
      </c>
      <c r="D39" s="392" t="s">
        <v>861</v>
      </c>
      <c r="E39" s="509">
        <v>42376</v>
      </c>
      <c r="F39" s="487" t="s">
        <v>783</v>
      </c>
      <c r="G39" s="486" t="s">
        <v>860</v>
      </c>
      <c r="H39" s="424">
        <v>9531</v>
      </c>
      <c r="I39" s="391" t="s">
        <v>861</v>
      </c>
      <c r="J39" s="409" t="s">
        <v>779</v>
      </c>
      <c r="K39" s="410"/>
      <c r="L39" s="392" t="s">
        <v>838</v>
      </c>
      <c r="M39" s="401"/>
      <c r="N39" s="402"/>
      <c r="O39" s="402"/>
    </row>
    <row r="40" spans="1:15" s="400" customFormat="1" ht="14.4" x14ac:dyDescent="0.3">
      <c r="A40" s="425"/>
      <c r="B40" s="392" t="s">
        <v>860</v>
      </c>
      <c r="C40" s="465">
        <v>39487</v>
      </c>
      <c r="D40" s="392" t="s">
        <v>648</v>
      </c>
      <c r="E40" s="509"/>
      <c r="F40" s="487" t="s">
        <v>783</v>
      </c>
      <c r="G40" s="486" t="s">
        <v>860</v>
      </c>
      <c r="H40" s="424">
        <v>39487</v>
      </c>
      <c r="I40" s="391" t="s">
        <v>648</v>
      </c>
      <c r="J40" s="409" t="s">
        <v>779</v>
      </c>
      <c r="K40" s="410" t="s">
        <v>862</v>
      </c>
      <c r="L40" s="392" t="s">
        <v>923</v>
      </c>
      <c r="M40" s="401"/>
      <c r="N40" s="402"/>
      <c r="O40" s="402"/>
    </row>
    <row r="41" spans="1:15" s="400" customFormat="1" ht="14.4" x14ac:dyDescent="0.3">
      <c r="A41" s="425"/>
      <c r="B41" s="392" t="s">
        <v>860</v>
      </c>
      <c r="C41" s="465">
        <v>8841</v>
      </c>
      <c r="D41" s="392" t="s">
        <v>863</v>
      </c>
      <c r="E41" s="509">
        <v>42263</v>
      </c>
      <c r="F41" s="487" t="s">
        <v>783</v>
      </c>
      <c r="G41" s="486" t="s">
        <v>860</v>
      </c>
      <c r="H41" s="424">
        <v>8841</v>
      </c>
      <c r="I41" s="391" t="s">
        <v>863</v>
      </c>
      <c r="J41" s="409" t="s">
        <v>779</v>
      </c>
      <c r="K41" s="410"/>
      <c r="L41" s="392" t="s">
        <v>838</v>
      </c>
      <c r="M41" s="401"/>
      <c r="N41" s="402"/>
      <c r="O41" s="402"/>
    </row>
    <row r="42" spans="1:15" s="400" customFormat="1" ht="14.4" x14ac:dyDescent="0.3">
      <c r="A42" s="425"/>
      <c r="B42" s="392" t="s">
        <v>864</v>
      </c>
      <c r="C42" s="465">
        <v>39151</v>
      </c>
      <c r="D42" s="392" t="s">
        <v>865</v>
      </c>
      <c r="E42" s="509" t="s">
        <v>866</v>
      </c>
      <c r="F42" s="487" t="s">
        <v>34</v>
      </c>
      <c r="G42" s="486" t="s">
        <v>864</v>
      </c>
      <c r="H42" s="424">
        <v>39151</v>
      </c>
      <c r="I42" s="391" t="s">
        <v>865</v>
      </c>
      <c r="J42" s="409" t="s">
        <v>779</v>
      </c>
      <c r="K42" s="410"/>
      <c r="L42" s="392" t="s">
        <v>867</v>
      </c>
      <c r="M42" s="401"/>
      <c r="N42" s="402"/>
      <c r="O42" s="402"/>
    </row>
    <row r="43" spans="1:15" s="400" customFormat="1" ht="14.4" x14ac:dyDescent="0.3">
      <c r="A43" s="425"/>
      <c r="B43" s="392" t="s">
        <v>864</v>
      </c>
      <c r="C43" s="465">
        <v>37340</v>
      </c>
      <c r="D43" s="392" t="s">
        <v>868</v>
      </c>
      <c r="E43" s="509">
        <v>45294</v>
      </c>
      <c r="F43" s="487" t="s">
        <v>783</v>
      </c>
      <c r="G43" s="486" t="s">
        <v>864</v>
      </c>
      <c r="H43" s="424">
        <v>37340</v>
      </c>
      <c r="I43" s="391" t="s">
        <v>868</v>
      </c>
      <c r="J43" s="409" t="s">
        <v>779</v>
      </c>
      <c r="K43" s="410"/>
      <c r="L43" s="392" t="s">
        <v>859</v>
      </c>
      <c r="M43" s="401"/>
      <c r="N43" s="402"/>
      <c r="O43" s="402"/>
    </row>
    <row r="44" spans="1:15" s="400" customFormat="1" ht="14.4" x14ac:dyDescent="0.3">
      <c r="A44" s="425"/>
      <c r="B44" s="392" t="s">
        <v>916</v>
      </c>
      <c r="C44" s="465">
        <v>39549</v>
      </c>
      <c r="D44" s="392" t="s">
        <v>917</v>
      </c>
      <c r="E44" s="509">
        <v>45726</v>
      </c>
      <c r="F44" s="487" t="s">
        <v>34</v>
      </c>
      <c r="G44" s="486" t="s">
        <v>916</v>
      </c>
      <c r="H44" s="424">
        <v>39549</v>
      </c>
      <c r="I44" s="391" t="s">
        <v>917</v>
      </c>
      <c r="J44" s="409" t="s">
        <v>779</v>
      </c>
      <c r="K44" s="410"/>
      <c r="L44" s="392" t="s">
        <v>924</v>
      </c>
      <c r="M44" s="401"/>
      <c r="N44" s="402"/>
      <c r="O44" s="402"/>
    </row>
    <row r="45" spans="1:15" s="400" customFormat="1" ht="14.4" x14ac:dyDescent="0.3">
      <c r="A45" s="425"/>
      <c r="B45" s="392" t="s">
        <v>918</v>
      </c>
      <c r="C45" s="465">
        <v>39548</v>
      </c>
      <c r="D45" s="392" t="s">
        <v>919</v>
      </c>
      <c r="E45" s="509">
        <v>45726</v>
      </c>
      <c r="F45" s="487" t="s">
        <v>783</v>
      </c>
      <c r="G45" s="486" t="s">
        <v>918</v>
      </c>
      <c r="H45" s="424">
        <v>39548</v>
      </c>
      <c r="I45" s="426" t="s">
        <v>919</v>
      </c>
      <c r="J45" s="409" t="s">
        <v>779</v>
      </c>
      <c r="K45" s="410"/>
      <c r="L45" s="392" t="s">
        <v>925</v>
      </c>
      <c r="M45" s="401"/>
      <c r="N45" s="402"/>
      <c r="O45" s="402"/>
    </row>
    <row r="46" spans="1:15" s="400" customFormat="1" ht="14.4" x14ac:dyDescent="0.3">
      <c r="A46" s="425"/>
      <c r="B46" s="392" t="s">
        <v>869</v>
      </c>
      <c r="C46" s="465">
        <v>39285</v>
      </c>
      <c r="D46" s="392" t="s">
        <v>870</v>
      </c>
      <c r="E46" s="509">
        <v>45876</v>
      </c>
      <c r="F46" s="487" t="s">
        <v>871</v>
      </c>
      <c r="G46" s="486" t="s">
        <v>869</v>
      </c>
      <c r="H46" s="424">
        <v>39285</v>
      </c>
      <c r="I46" s="426" t="s">
        <v>870</v>
      </c>
      <c r="J46" s="409" t="s">
        <v>779</v>
      </c>
      <c r="K46" s="410"/>
      <c r="L46" s="392" t="s">
        <v>801</v>
      </c>
      <c r="M46" s="401"/>
      <c r="N46" s="402"/>
      <c r="O46" s="402"/>
    </row>
    <row r="47" spans="1:15" s="400" customFormat="1" ht="14.4" x14ac:dyDescent="0.3">
      <c r="A47" s="425"/>
      <c r="B47" s="392" t="s">
        <v>860</v>
      </c>
      <c r="C47" s="465">
        <v>38909</v>
      </c>
      <c r="D47" s="392" t="s">
        <v>872</v>
      </c>
      <c r="E47" s="509">
        <v>45811</v>
      </c>
      <c r="F47" s="487" t="s">
        <v>845</v>
      </c>
      <c r="G47" s="486" t="s">
        <v>860</v>
      </c>
      <c r="H47" s="424">
        <v>38909</v>
      </c>
      <c r="I47" s="426" t="s">
        <v>872</v>
      </c>
      <c r="J47" s="409" t="s">
        <v>779</v>
      </c>
      <c r="K47" s="410" t="s">
        <v>862</v>
      </c>
      <c r="L47" s="392" t="s">
        <v>873</v>
      </c>
      <c r="M47" s="401"/>
      <c r="N47" s="402"/>
      <c r="O47" s="402"/>
    </row>
    <row r="48" spans="1:15" s="400" customFormat="1" ht="15" thickBot="1" x14ac:dyDescent="0.35">
      <c r="A48" s="425"/>
      <c r="B48" s="392" t="s">
        <v>874</v>
      </c>
      <c r="C48" s="465">
        <v>9937</v>
      </c>
      <c r="D48" s="392" t="s">
        <v>875</v>
      </c>
      <c r="E48" s="509">
        <v>42438</v>
      </c>
      <c r="F48" s="487" t="s">
        <v>783</v>
      </c>
      <c r="G48" s="486" t="s">
        <v>874</v>
      </c>
      <c r="H48" s="424">
        <v>9937</v>
      </c>
      <c r="I48" s="426" t="s">
        <v>875</v>
      </c>
      <c r="J48" s="409" t="s">
        <v>779</v>
      </c>
      <c r="K48" s="410"/>
      <c r="L48" s="392" t="s">
        <v>838</v>
      </c>
      <c r="M48" s="401"/>
      <c r="N48" s="402"/>
      <c r="O48" s="402"/>
    </row>
    <row r="49" spans="1:15" s="400" customFormat="1" ht="15" thickBot="1" x14ac:dyDescent="0.35">
      <c r="A49" s="386"/>
      <c r="B49" s="463" t="s">
        <v>920</v>
      </c>
      <c r="C49" s="469">
        <v>39436</v>
      </c>
      <c r="D49" s="463" t="s">
        <v>921</v>
      </c>
      <c r="E49" s="423" t="s">
        <v>922</v>
      </c>
      <c r="F49" s="407" t="s">
        <v>783</v>
      </c>
      <c r="G49" s="406" t="s">
        <v>920</v>
      </c>
      <c r="H49" s="408">
        <v>39436</v>
      </c>
      <c r="I49" s="391" t="s">
        <v>921</v>
      </c>
      <c r="J49" s="409" t="s">
        <v>779</v>
      </c>
      <c r="K49" s="410"/>
      <c r="L49" s="392" t="s">
        <v>923</v>
      </c>
      <c r="M49" s="401"/>
      <c r="N49" s="402"/>
      <c r="O49" s="402"/>
    </row>
    <row r="50" spans="1:15" s="400" customFormat="1" ht="15" thickBot="1" x14ac:dyDescent="0.35">
      <c r="A50" s="393"/>
      <c r="B50" s="453"/>
      <c r="C50" s="451"/>
      <c r="D50" s="428" t="s">
        <v>876</v>
      </c>
      <c r="E50" s="394"/>
      <c r="F50" s="395"/>
      <c r="G50" s="429" t="s">
        <v>877</v>
      </c>
      <c r="H50" s="396"/>
      <c r="I50" s="417"/>
      <c r="J50" s="404"/>
      <c r="K50" s="430"/>
      <c r="L50" s="399"/>
    </row>
    <row r="51" spans="1:15" s="400" customFormat="1" ht="15" thickBot="1" x14ac:dyDescent="0.35">
      <c r="A51" s="420" t="s">
        <v>27</v>
      </c>
      <c r="B51" s="443" t="s">
        <v>5</v>
      </c>
      <c r="C51" s="465">
        <v>15865</v>
      </c>
      <c r="D51" s="443" t="s">
        <v>878</v>
      </c>
      <c r="E51" s="466">
        <v>43650</v>
      </c>
      <c r="F51" s="482" t="s">
        <v>34</v>
      </c>
      <c r="G51" s="405" t="s">
        <v>5</v>
      </c>
      <c r="H51" s="408">
        <v>15865</v>
      </c>
      <c r="I51" s="391" t="s">
        <v>878</v>
      </c>
      <c r="J51" s="409" t="s">
        <v>783</v>
      </c>
      <c r="K51" s="391" t="s">
        <v>879</v>
      </c>
      <c r="L51" s="392" t="s">
        <v>801</v>
      </c>
      <c r="M51" s="401"/>
      <c r="N51" s="402"/>
      <c r="O51" s="402"/>
    </row>
    <row r="52" spans="1:15" s="400" customFormat="1" ht="16.8" x14ac:dyDescent="0.4">
      <c r="A52" s="422"/>
      <c r="B52" s="454" t="s">
        <v>14</v>
      </c>
      <c r="C52" s="465">
        <v>27491</v>
      </c>
      <c r="D52" s="392" t="s">
        <v>878</v>
      </c>
      <c r="E52" s="480">
        <v>44249</v>
      </c>
      <c r="F52" s="483" t="s">
        <v>34</v>
      </c>
      <c r="G52" s="432" t="s">
        <v>14</v>
      </c>
      <c r="H52" s="431">
        <v>27491</v>
      </c>
      <c r="I52" s="432" t="s">
        <v>878</v>
      </c>
      <c r="J52" s="433" t="s">
        <v>783</v>
      </c>
      <c r="K52" s="391" t="s">
        <v>880</v>
      </c>
      <c r="L52" s="434" t="s">
        <v>781</v>
      </c>
      <c r="M52" s="401"/>
      <c r="N52" s="402"/>
      <c r="O52" s="402"/>
    </row>
    <row r="53" spans="1:15" s="400" customFormat="1" ht="16.8" x14ac:dyDescent="0.4">
      <c r="A53" s="425"/>
      <c r="B53" s="454" t="s">
        <v>3</v>
      </c>
      <c r="C53" s="465">
        <v>37264</v>
      </c>
      <c r="D53" s="392" t="s">
        <v>881</v>
      </c>
      <c r="E53" s="480">
        <v>45273</v>
      </c>
      <c r="F53" s="483" t="s">
        <v>779</v>
      </c>
      <c r="G53" s="432" t="s">
        <v>3</v>
      </c>
      <c r="H53" s="431">
        <v>37264</v>
      </c>
      <c r="I53" s="432" t="s">
        <v>881</v>
      </c>
      <c r="J53" s="433" t="s">
        <v>783</v>
      </c>
      <c r="K53" s="391" t="s">
        <v>882</v>
      </c>
      <c r="L53" s="434" t="s">
        <v>807</v>
      </c>
      <c r="M53" s="401"/>
      <c r="N53" s="402"/>
      <c r="O53" s="402"/>
    </row>
    <row r="54" spans="1:15" s="400" customFormat="1" ht="16.8" x14ac:dyDescent="0.4">
      <c r="A54" s="425"/>
      <c r="B54" s="454" t="s">
        <v>3</v>
      </c>
      <c r="C54" s="465">
        <v>37677</v>
      </c>
      <c r="D54" s="392" t="s">
        <v>883</v>
      </c>
      <c r="E54" s="480">
        <v>45352</v>
      </c>
      <c r="F54" s="483" t="s">
        <v>779</v>
      </c>
      <c r="G54" s="432" t="s">
        <v>3</v>
      </c>
      <c r="H54" s="431">
        <v>37677</v>
      </c>
      <c r="I54" s="432" t="s">
        <v>883</v>
      </c>
      <c r="J54" s="433" t="s">
        <v>34</v>
      </c>
      <c r="K54" s="391" t="s">
        <v>879</v>
      </c>
      <c r="L54" s="434" t="s">
        <v>801</v>
      </c>
      <c r="M54" s="401"/>
      <c r="N54" s="402"/>
      <c r="O54" s="402"/>
    </row>
    <row r="55" spans="1:15" s="400" customFormat="1" ht="16.8" x14ac:dyDescent="0.4">
      <c r="A55" s="425"/>
      <c r="B55" s="454" t="s">
        <v>9</v>
      </c>
      <c r="C55" s="465">
        <v>38982</v>
      </c>
      <c r="D55" s="392" t="s">
        <v>884</v>
      </c>
      <c r="E55" s="480">
        <v>45750</v>
      </c>
      <c r="F55" s="483" t="s">
        <v>34</v>
      </c>
      <c r="G55" s="432" t="s">
        <v>9</v>
      </c>
      <c r="H55" s="431">
        <v>38982</v>
      </c>
      <c r="I55" s="432" t="s">
        <v>884</v>
      </c>
      <c r="J55" s="433" t="s">
        <v>34</v>
      </c>
      <c r="K55" s="391" t="s">
        <v>885</v>
      </c>
      <c r="L55" s="434" t="s">
        <v>807</v>
      </c>
      <c r="M55" s="401"/>
      <c r="N55" s="402"/>
      <c r="O55" s="402"/>
    </row>
    <row r="56" spans="1:15" s="400" customFormat="1" ht="16.8" x14ac:dyDescent="0.4">
      <c r="A56" s="425"/>
      <c r="B56" s="454" t="s">
        <v>9</v>
      </c>
      <c r="C56" s="465">
        <v>37870</v>
      </c>
      <c r="D56" s="392" t="s">
        <v>886</v>
      </c>
      <c r="E56" s="480">
        <v>45436</v>
      </c>
      <c r="F56" s="483" t="s">
        <v>34</v>
      </c>
      <c r="G56" s="432" t="s">
        <v>9</v>
      </c>
      <c r="H56" s="431">
        <v>37870</v>
      </c>
      <c r="I56" s="432" t="s">
        <v>886</v>
      </c>
      <c r="J56" s="433" t="s">
        <v>34</v>
      </c>
      <c r="K56" s="391" t="s">
        <v>887</v>
      </c>
      <c r="L56" s="434" t="s">
        <v>781</v>
      </c>
      <c r="M56" s="401"/>
      <c r="N56" s="402"/>
      <c r="O56" s="402"/>
    </row>
    <row r="57" spans="1:15" s="400" customFormat="1" ht="17.399999999999999" thickBot="1" x14ac:dyDescent="0.45">
      <c r="A57" s="427"/>
      <c r="B57" s="510" t="s">
        <v>888</v>
      </c>
      <c r="C57" s="465">
        <v>39216</v>
      </c>
      <c r="D57" s="463" t="s">
        <v>889</v>
      </c>
      <c r="E57" s="481">
        <v>45820</v>
      </c>
      <c r="F57" s="484" t="s">
        <v>34</v>
      </c>
      <c r="G57" s="432" t="s">
        <v>888</v>
      </c>
      <c r="H57" s="431">
        <v>39216</v>
      </c>
      <c r="I57" s="432" t="s">
        <v>889</v>
      </c>
      <c r="J57" s="433" t="s">
        <v>34</v>
      </c>
      <c r="K57" s="391" t="s">
        <v>882</v>
      </c>
      <c r="L57" s="434" t="s">
        <v>801</v>
      </c>
      <c r="M57" s="401"/>
      <c r="N57" s="402"/>
      <c r="O57" s="402"/>
    </row>
    <row r="58" spans="1:15" s="400" customFormat="1" ht="15" thickBot="1" x14ac:dyDescent="0.35">
      <c r="A58" s="393"/>
      <c r="B58" s="455"/>
      <c r="C58" s="403"/>
      <c r="D58" s="459" t="s">
        <v>890</v>
      </c>
      <c r="E58" s="452"/>
      <c r="F58" s="416"/>
      <c r="G58" s="415" t="s">
        <v>891</v>
      </c>
      <c r="H58" s="435"/>
      <c r="I58" s="436"/>
      <c r="J58" s="437"/>
      <c r="K58" s="438"/>
      <c r="L58" s="439"/>
    </row>
    <row r="59" spans="1:15" s="400" customFormat="1" ht="15" thickBot="1" x14ac:dyDescent="0.35">
      <c r="A59" s="420" t="s">
        <v>132</v>
      </c>
      <c r="B59" s="443" t="s">
        <v>892</v>
      </c>
      <c r="C59" s="460">
        <v>36070</v>
      </c>
      <c r="D59" s="443" t="s">
        <v>893</v>
      </c>
      <c r="E59" s="497">
        <v>45065</v>
      </c>
      <c r="F59" s="441" t="s">
        <v>779</v>
      </c>
      <c r="G59" s="440" t="s">
        <v>892</v>
      </c>
      <c r="H59" s="421">
        <v>36070</v>
      </c>
      <c r="I59" s="440" t="s">
        <v>893</v>
      </c>
      <c r="J59" s="441" t="s">
        <v>779</v>
      </c>
      <c r="K59" s="442" t="s">
        <v>894</v>
      </c>
      <c r="L59" s="443" t="s">
        <v>895</v>
      </c>
      <c r="M59" s="401"/>
      <c r="N59" s="402"/>
      <c r="O59" s="402"/>
    </row>
    <row r="60" spans="1:15" s="400" customFormat="1" ht="14.4" x14ac:dyDescent="0.3">
      <c r="A60" s="449"/>
      <c r="B60" s="392" t="s">
        <v>896</v>
      </c>
      <c r="C60" s="461">
        <v>37748</v>
      </c>
      <c r="D60" s="392" t="s">
        <v>897</v>
      </c>
      <c r="E60" s="498">
        <v>45369</v>
      </c>
      <c r="F60" s="409" t="s">
        <v>34</v>
      </c>
      <c r="G60" s="387" t="s">
        <v>896</v>
      </c>
      <c r="H60" s="388">
        <v>37748</v>
      </c>
      <c r="I60" s="391" t="s">
        <v>897</v>
      </c>
      <c r="J60" s="409" t="s">
        <v>779</v>
      </c>
      <c r="K60" s="389" t="s">
        <v>898</v>
      </c>
      <c r="L60" s="444" t="s">
        <v>895</v>
      </c>
      <c r="M60" s="401"/>
      <c r="N60" s="402"/>
      <c r="O60" s="402"/>
    </row>
    <row r="61" spans="1:15" s="400" customFormat="1" ht="14.4" x14ac:dyDescent="0.3">
      <c r="A61" s="449"/>
      <c r="B61" s="392" t="s">
        <v>896</v>
      </c>
      <c r="C61" s="461">
        <v>29144</v>
      </c>
      <c r="D61" s="392" t="s">
        <v>899</v>
      </c>
      <c r="E61" s="498">
        <v>44450</v>
      </c>
      <c r="F61" s="409" t="s">
        <v>34</v>
      </c>
      <c r="G61" s="387" t="s">
        <v>896</v>
      </c>
      <c r="H61" s="388">
        <v>29144</v>
      </c>
      <c r="I61" s="391" t="s">
        <v>899</v>
      </c>
      <c r="J61" s="409" t="s">
        <v>779</v>
      </c>
      <c r="K61" s="389" t="s">
        <v>900</v>
      </c>
      <c r="L61" s="444" t="s">
        <v>781</v>
      </c>
      <c r="M61" s="401"/>
      <c r="N61" s="402"/>
      <c r="O61" s="402"/>
    </row>
    <row r="62" spans="1:15" s="400" customFormat="1" ht="15" thickBot="1" x14ac:dyDescent="0.35">
      <c r="A62" s="449"/>
      <c r="B62" s="505" t="s">
        <v>901</v>
      </c>
      <c r="C62" s="462">
        <v>16108</v>
      </c>
      <c r="D62" s="463" t="s">
        <v>902</v>
      </c>
      <c r="E62" s="499">
        <v>43705</v>
      </c>
      <c r="F62" s="500" t="s">
        <v>34</v>
      </c>
      <c r="G62" s="445" t="s">
        <v>901</v>
      </c>
      <c r="H62" s="446">
        <v>16108</v>
      </c>
      <c r="I62" s="445" t="s">
        <v>902</v>
      </c>
      <c r="J62" s="447" t="s">
        <v>779</v>
      </c>
      <c r="K62" s="448" t="s">
        <v>903</v>
      </c>
      <c r="L62" s="444" t="s">
        <v>781</v>
      </c>
      <c r="M62" s="401"/>
      <c r="N62" s="402"/>
      <c r="O62" s="402"/>
    </row>
    <row r="63" spans="1:15" s="400" customFormat="1" ht="15" thickBot="1" x14ac:dyDescent="0.35">
      <c r="A63" s="393"/>
      <c r="B63" s="453"/>
      <c r="C63" s="414"/>
      <c r="D63" s="428" t="s">
        <v>904</v>
      </c>
      <c r="E63" s="394"/>
      <c r="F63" s="395"/>
      <c r="G63" s="458" t="s">
        <v>905</v>
      </c>
      <c r="H63" s="396"/>
      <c r="I63" s="417"/>
      <c r="J63" s="404"/>
      <c r="K63" s="430"/>
      <c r="L63" s="399"/>
    </row>
  </sheetData>
  <mergeCells count="3">
    <mergeCell ref="A2:E3"/>
    <mergeCell ref="F2:F3"/>
    <mergeCell ref="G2:J3"/>
  </mergeCells>
  <pageMargins left="0.45" right="0.45" top="0.5" bottom="0.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3</vt:i4>
      </vt:variant>
    </vt:vector>
  </HeadingPairs>
  <TitlesOfParts>
    <vt:vector size="17" baseType="lpstr">
      <vt:lpstr>Infrastructure and Systems</vt:lpstr>
      <vt:lpstr>Chaipro-SAP</vt:lpstr>
      <vt:lpstr>ICT Inventory</vt:lpstr>
      <vt:lpstr>BCP</vt:lpstr>
      <vt:lpstr>ICT Cost</vt:lpstr>
      <vt:lpstr>R1</vt:lpstr>
      <vt:lpstr>R2</vt:lpstr>
      <vt:lpstr>R3</vt:lpstr>
      <vt:lpstr>R4</vt:lpstr>
      <vt:lpstr>R5</vt:lpstr>
      <vt:lpstr>R6</vt:lpstr>
      <vt:lpstr>R7</vt:lpstr>
      <vt:lpstr>SUM PERFORMANCE</vt:lpstr>
      <vt:lpstr>Pending Issues-SEPT 2025</vt:lpstr>
      <vt:lpstr>'ICT Cost'!_1610914392</vt:lpstr>
      <vt:lpstr>'ICT Cost'!_1663400178</vt:lpstr>
      <vt:lpstr>'SUM PERFORMANCE'!Print_Area</vt:lpstr>
    </vt:vector>
  </TitlesOfParts>
  <Company>ktda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ktda</dc:creator>
  <cp:lastModifiedBy>KTDA</cp:lastModifiedBy>
  <cp:lastPrinted>2025-08-12T07:37:53Z</cp:lastPrinted>
  <dcterms:created xsi:type="dcterms:W3CDTF">2013-10-10T05:35:29Z</dcterms:created>
  <dcterms:modified xsi:type="dcterms:W3CDTF">2025-10-28T15:07:55Z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-1534411866</vt:i4>
  </property>
  <property fmtid="{D5CDD505-2E9C-101B-9397-08002B2CF9AE}" pid="3" name="_NewReviewCycle">
    <vt:lpwstr/>
  </property>
  <property fmtid="{D5CDD505-2E9C-101B-9397-08002B2CF9AE}" pid="4" name="_EmailSubject">
    <vt:lpwstr>FIELD REPORTS - Report Attached</vt:lpwstr>
  </property>
  <property fmtid="{D5CDD505-2E9C-101B-9397-08002B2CF9AE}" pid="5" name="_AuthorEmailDisplayName">
    <vt:lpwstr>Philemon Langat/ktda</vt:lpwstr>
  </property>
  <property fmtid="{D5CDD505-2E9C-101B-9397-08002B2CF9AE}" pid="6" name="_ReviewingToolsShownOnce">
    <vt:lpwstr/>
  </property>
</Properties>
</file>